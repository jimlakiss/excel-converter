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30"/>
  <workbookPr defaultThemeVersion="124226"/>
  <mc:AlternateContent xmlns:mc="http://schemas.openxmlformats.org/markup-compatibility/2006">
    <mc:Choice Requires="x15">
      <x15ac:absPath xmlns:x15ac="http://schemas.microsoft.com/office/spreadsheetml/2010/11/ac" url="/Users/jameslakiss/Documents/Develop/iQs/19 Excel and CSV Converter/templates/"/>
    </mc:Choice>
  </mc:AlternateContent>
  <xr:revisionPtr revIDLastSave="0" documentId="13_ncr:1_{77604BF7-BEF1-DC43-A7FB-760251A98233}" xr6:coauthVersionLast="47" xr6:coauthVersionMax="47" xr10:uidLastSave="{00000000-0000-0000-0000-000000000000}"/>
  <bookViews>
    <workbookView xWindow="-52880" yWindow="4460" windowWidth="41120" windowHeight="25780" activeTab="5" xr2:uid="{00000000-000D-0000-FFFF-FFFF00000000}"/>
  </bookViews>
  <sheets>
    <sheet name="Summary" sheetId="1" r:id="rId1"/>
    <sheet name="0-DISCLAIMER" sheetId="44" r:id="rId2"/>
    <sheet name="1-GENERAL" sheetId="2" r:id="rId3"/>
    <sheet name="2-PRELIMINARIES" sheetId="3" r:id="rId4"/>
    <sheet name="3-DEMOLITION" sheetId="4" r:id="rId5"/>
    <sheet name="4-GROUNDWORKS" sheetId="5" r:id="rId6"/>
    <sheet name="5-PILING" sheetId="6" r:id="rId7"/>
    <sheet name="6-CONCRETE" sheetId="7" r:id="rId8"/>
    <sheet name="7-FORMWORK" sheetId="8" r:id="rId9"/>
    <sheet name="8-REINFORCEMENT" sheetId="9" r:id="rId10"/>
    <sheet name="9-PRESTRESSING" sheetId="10" r:id="rId11"/>
    <sheet name="10-PRECAST CONCRETE" sheetId="11" r:id="rId12"/>
    <sheet name="11-TANKING AND WATERPROOF MEMBR" sheetId="12" r:id="rId13"/>
    <sheet name="12-MASONRY" sheetId="13" r:id="rId14"/>
    <sheet name="13-STONEWORK" sheetId="14" r:id="rId15"/>
    <sheet name="14-STRUCTURAL STEEL" sheetId="15" r:id="rId16"/>
    <sheet name="15-METALWORK" sheetId="16" r:id="rId17"/>
    <sheet name="16-ROOFING" sheetId="17" r:id="rId18"/>
    <sheet name="17-FAÇADE SYSTEMS" sheetId="18" r:id="rId19"/>
    <sheet name="18-WINDOWS" sheetId="19" r:id="rId20"/>
    <sheet name="19-GLAZING" sheetId="20" r:id="rId21"/>
    <sheet name="20-CARPENTRY" sheetId="21" r:id="rId22"/>
    <sheet name="21-PARTITIONS" sheetId="22" r:id="rId23"/>
    <sheet name="22-SUSPENDED CEILINGS" sheetId="23" r:id="rId24"/>
    <sheet name="23-ACCESS FLOORS" sheetId="24" r:id="rId25"/>
    <sheet name="24-DOORS" sheetId="25" r:id="rId26"/>
    <sheet name="25-HARDWARE" sheetId="26" r:id="rId27"/>
    <sheet name="26-APPLIED FINISHES, RENDER &amp; T" sheetId="27" r:id="rId28"/>
    <sheet name="27-TILING, SLAB AND PAVING" sheetId="28" r:id="rId29"/>
    <sheet name="28-CARPET AND RESILIENT FINISHE" sheetId="29" r:id="rId30"/>
    <sheet name="29-PAINTING" sheetId="30" r:id="rId31"/>
    <sheet name="30-JOINERY" sheetId="31" r:id="rId32"/>
    <sheet name="31-FURNITURE FITTINGS AND EQUIP" sheetId="32" r:id="rId33"/>
    <sheet name="32-HYDRAULICS" sheetId="33" r:id="rId34"/>
    <sheet name="33-DRAINAGE" sheetId="34" r:id="rId35"/>
    <sheet name="34-ELECTRICAL INSTALLATIONS" sheetId="35" r:id="rId36"/>
    <sheet name="35-MECHANICAL INSTALLATIONS" sheetId="36" r:id="rId37"/>
    <sheet name="36-TRANSPORTATION SERVICES" sheetId="37" r:id="rId38"/>
    <sheet name="37-EXTERIOR ELEMENTS" sheetId="38" r:id="rId39"/>
    <sheet name="38-FIRE PROTECTION" sheetId="39" r:id="rId40"/>
    <sheet name="39-INCLUDED SUMS" sheetId="40" r:id="rId41"/>
    <sheet name="40-SIGNAGE" sheetId="41" r:id="rId42"/>
    <sheet name="41-PEST CONTROL" sheetId="43" r:id="rId43"/>
    <sheet name="42-WORKS BY NOMINATED SUBCONTRA" sheetId="45" r:id="rId44"/>
    <sheet name="43-NOT INCLUDED ELSEWHERE" sheetId="46" r:id="rId45"/>
    <sheet name="Sheet1" sheetId="42" r:id="rId4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5" i="1" l="1"/>
  <c r="F1" i="44"/>
  <c r="C4" i="1" s="1"/>
  <c r="C47" i="1"/>
  <c r="C46" i="1"/>
  <c r="C45" i="1"/>
  <c r="C44" i="1"/>
  <c r="F4" i="46"/>
  <c r="F1" i="46"/>
  <c r="F4" i="45"/>
  <c r="F1" i="45"/>
  <c r="C43" i="1"/>
  <c r="F4" i="43"/>
  <c r="F1" i="43"/>
  <c r="F4" i="3"/>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F1" i="4"/>
  <c r="F1" i="5"/>
  <c r="F1" i="6"/>
  <c r="F1" i="7"/>
  <c r="F1" i="8"/>
  <c r="F1" i="9"/>
  <c r="F1" i="10"/>
  <c r="F1" i="11"/>
  <c r="F1" i="12"/>
  <c r="F1" i="13"/>
  <c r="F1" i="14"/>
  <c r="F1" i="15"/>
  <c r="F1" i="16"/>
  <c r="F1" i="17"/>
  <c r="F1" i="18"/>
  <c r="F1" i="19"/>
  <c r="F1" i="20"/>
  <c r="F1" i="21"/>
  <c r="F1" i="22"/>
  <c r="F1" i="23"/>
  <c r="F1" i="24"/>
  <c r="F1" i="25"/>
  <c r="F1" i="26"/>
  <c r="F1" i="27"/>
  <c r="F1" i="28"/>
  <c r="F1" i="29"/>
  <c r="F1" i="30"/>
  <c r="F1" i="31"/>
  <c r="F1" i="32"/>
  <c r="F1" i="33"/>
  <c r="F1" i="34"/>
  <c r="F1" i="35"/>
  <c r="F1" i="36"/>
  <c r="F1" i="37"/>
  <c r="F1" i="38"/>
  <c r="F1" i="39"/>
  <c r="F1" i="40"/>
  <c r="F1" i="41"/>
  <c r="F1" i="2"/>
  <c r="F4" i="41"/>
  <c r="F4" i="40"/>
  <c r="F4" i="39"/>
  <c r="F4" i="38"/>
  <c r="F4" i="37"/>
  <c r="F4" i="36"/>
  <c r="F4" i="35"/>
  <c r="F4" i="34"/>
  <c r="F4" i="33"/>
  <c r="F4" i="32"/>
  <c r="F4" i="31"/>
  <c r="F4" i="30"/>
  <c r="F4" i="29"/>
  <c r="F4" i="28"/>
  <c r="F4" i="27"/>
  <c r="F4" i="26"/>
  <c r="F4" i="25"/>
  <c r="F4" i="24"/>
  <c r="F4" i="23"/>
  <c r="F4" i="22"/>
  <c r="F4" i="21"/>
  <c r="F4" i="20"/>
  <c r="F4" i="19"/>
  <c r="F4" i="18"/>
  <c r="F4" i="17"/>
  <c r="F4" i="16"/>
  <c r="F4" i="15"/>
  <c r="F4" i="14"/>
  <c r="F4" i="13"/>
  <c r="F4" i="12"/>
  <c r="F4" i="11"/>
  <c r="F4" i="10"/>
  <c r="F4" i="9"/>
  <c r="F4" i="8"/>
  <c r="F4" i="7"/>
  <c r="F4" i="6"/>
  <c r="F4" i="5"/>
  <c r="F4" i="4"/>
  <c r="F1" i="3" l="1"/>
  <c r="C6" i="1" s="1"/>
  <c r="C49" i="1" s="1"/>
  <c r="D5" i="1" l="1"/>
  <c r="D21" i="1"/>
  <c r="D37" i="1"/>
  <c r="D22" i="1"/>
  <c r="D38" i="1"/>
  <c r="D7" i="1"/>
  <c r="D23" i="1"/>
  <c r="D39" i="1"/>
  <c r="D8" i="1"/>
  <c r="D24" i="1"/>
  <c r="D40" i="1"/>
  <c r="D9" i="1"/>
  <c r="D25" i="1"/>
  <c r="D41" i="1"/>
  <c r="D10" i="1"/>
  <c r="D26" i="1"/>
  <c r="D42" i="1"/>
  <c r="D11" i="1"/>
  <c r="D27" i="1"/>
  <c r="D43" i="1"/>
  <c r="D28" i="1"/>
  <c r="D45" i="1"/>
  <c r="D14" i="1"/>
  <c r="D46" i="1"/>
  <c r="D15" i="1"/>
  <c r="D31" i="1"/>
  <c r="D16" i="1"/>
  <c r="D32" i="1"/>
  <c r="D17" i="1"/>
  <c r="D6" i="1"/>
  <c r="D12" i="1"/>
  <c r="D44" i="1"/>
  <c r="D13" i="1"/>
  <c r="D29" i="1"/>
  <c r="D30" i="1"/>
  <c r="D47" i="1"/>
  <c r="D33" i="1"/>
  <c r="D18" i="1"/>
  <c r="D34" i="1"/>
  <c r="D19" i="1"/>
  <c r="D35" i="1"/>
  <c r="D20" i="1"/>
  <c r="D36" i="1"/>
  <c r="D4" i="1"/>
  <c r="C53" i="1"/>
  <c r="C52" i="1"/>
  <c r="C51" i="1"/>
  <c r="C54" i="1"/>
  <c r="D49" i="1" l="1"/>
  <c r="C55" i="1"/>
  <c r="E44" i="1" s="1"/>
  <c r="F44" i="1" s="1"/>
  <c r="E26" i="1"/>
  <c r="F26" i="1" s="1"/>
  <c r="E31" i="1"/>
  <c r="F31" i="1" s="1"/>
  <c r="E22" i="1"/>
  <c r="F22" i="1" s="1"/>
  <c r="E19" i="1"/>
  <c r="F19" i="1" s="1"/>
  <c r="E21" i="1"/>
  <c r="F21" i="1" s="1"/>
  <c r="E30" i="1"/>
  <c r="F30" i="1" s="1"/>
  <c r="E10" i="1"/>
  <c r="F10" i="1" s="1"/>
  <c r="E33" i="1"/>
  <c r="F33" i="1" s="1"/>
  <c r="E37" i="1" l="1"/>
  <c r="F37" i="1" s="1"/>
  <c r="E14" i="1"/>
  <c r="F14" i="1" s="1"/>
  <c r="E38" i="1"/>
  <c r="F38" i="1" s="1"/>
  <c r="E9" i="1"/>
  <c r="F9" i="1" s="1"/>
  <c r="E45" i="1"/>
  <c r="F45" i="1" s="1"/>
  <c r="C57" i="1"/>
  <c r="C58" i="1" s="1"/>
  <c r="G44" i="1" s="1"/>
  <c r="H44" i="1" s="1"/>
  <c r="E24" i="1"/>
  <c r="F24" i="1" s="1"/>
  <c r="E8" i="1"/>
  <c r="F8" i="1" s="1"/>
  <c r="E17" i="1"/>
  <c r="F17" i="1" s="1"/>
  <c r="E35" i="1"/>
  <c r="F35" i="1" s="1"/>
  <c r="E34" i="1"/>
  <c r="F34" i="1" s="1"/>
  <c r="E32" i="1"/>
  <c r="F32" i="1" s="1"/>
  <c r="E27" i="1"/>
  <c r="F27" i="1" s="1"/>
  <c r="E36" i="1"/>
  <c r="F36" i="1" s="1"/>
  <c r="E29" i="1"/>
  <c r="F29" i="1" s="1"/>
  <c r="E20" i="1"/>
  <c r="F20" i="1" s="1"/>
  <c r="E16" i="1"/>
  <c r="F16" i="1" s="1"/>
  <c r="E46" i="1"/>
  <c r="F46" i="1" s="1"/>
  <c r="E43" i="1"/>
  <c r="F43" i="1" s="1"/>
  <c r="E23" i="1"/>
  <c r="F23" i="1" s="1"/>
  <c r="E41" i="1"/>
  <c r="F41" i="1" s="1"/>
  <c r="E5" i="1"/>
  <c r="F5" i="1" s="1"/>
  <c r="E6" i="1"/>
  <c r="F6" i="1" s="1"/>
  <c r="E25" i="1"/>
  <c r="F25" i="1" s="1"/>
  <c r="E18" i="1"/>
  <c r="F18" i="1" s="1"/>
  <c r="E12" i="1"/>
  <c r="F12" i="1" s="1"/>
  <c r="E4" i="1"/>
  <c r="E42" i="1"/>
  <c r="F42" i="1" s="1"/>
  <c r="E7" i="1"/>
  <c r="F7" i="1" s="1"/>
  <c r="E40" i="1"/>
  <c r="F40" i="1" s="1"/>
  <c r="E15" i="1"/>
  <c r="F15" i="1" s="1"/>
  <c r="E39" i="1"/>
  <c r="F39" i="1" s="1"/>
  <c r="E13" i="1"/>
  <c r="F13" i="1" s="1"/>
  <c r="E47" i="1"/>
  <c r="F47" i="1" s="1"/>
  <c r="E11" i="1"/>
  <c r="F11" i="1" s="1"/>
  <c r="E28" i="1"/>
  <c r="F28" i="1" s="1"/>
  <c r="G45" i="1" l="1"/>
  <c r="H45" i="1" s="1"/>
  <c r="E49" i="1"/>
  <c r="F4" i="1"/>
  <c r="F49" i="1" s="1"/>
  <c r="C59" i="1"/>
  <c r="C60" i="1" s="1"/>
  <c r="G13" i="1"/>
  <c r="H13" i="1" s="1"/>
  <c r="G15" i="1"/>
  <c r="H15" i="1" s="1"/>
  <c r="G24" i="1"/>
  <c r="H24" i="1" s="1"/>
  <c r="G35" i="1"/>
  <c r="H35" i="1" s="1"/>
  <c r="G30" i="1"/>
  <c r="H30" i="1" s="1"/>
  <c r="G38" i="1"/>
  <c r="H38" i="1" s="1"/>
  <c r="G17" i="1"/>
  <c r="H17" i="1" s="1"/>
  <c r="G27" i="1"/>
  <c r="H27" i="1" s="1"/>
  <c r="G36" i="1"/>
  <c r="H36" i="1" s="1"/>
  <c r="G34" i="1"/>
  <c r="H34" i="1" s="1"/>
  <c r="G32" i="1"/>
  <c r="H32" i="1" s="1"/>
  <c r="G10" i="1"/>
  <c r="H10" i="1" s="1"/>
  <c r="G16" i="1"/>
  <c r="H16" i="1" s="1"/>
  <c r="G9" i="1"/>
  <c r="H9" i="1" s="1"/>
  <c r="G29" i="1"/>
  <c r="H29" i="1" s="1"/>
  <c r="G20" i="1"/>
  <c r="H20" i="1" s="1"/>
  <c r="G23" i="1"/>
  <c r="H23" i="1" s="1"/>
  <c r="G5" i="1"/>
  <c r="H5" i="1" s="1"/>
  <c r="G46" i="1"/>
  <c r="H46" i="1" s="1"/>
  <c r="G43" i="1"/>
  <c r="H43" i="1" s="1"/>
  <c r="G41" i="1"/>
  <c r="H41" i="1" s="1"/>
  <c r="G33" i="1"/>
  <c r="H33" i="1" s="1"/>
  <c r="G4" i="1"/>
  <c r="G18" i="1"/>
  <c r="H18" i="1" s="1"/>
  <c r="G12" i="1"/>
  <c r="H12" i="1" s="1"/>
  <c r="G7" i="1"/>
  <c r="H7" i="1" s="1"/>
  <c r="G40" i="1"/>
  <c r="H40" i="1" s="1"/>
  <c r="G39" i="1"/>
  <c r="H39" i="1" s="1"/>
  <c r="G8" i="1"/>
  <c r="H8" i="1" s="1"/>
  <c r="G6" i="1"/>
  <c r="H6" i="1" s="1"/>
  <c r="G42" i="1"/>
  <c r="H42" i="1" s="1"/>
  <c r="G47" i="1"/>
  <c r="H47" i="1" s="1"/>
  <c r="G25" i="1"/>
  <c r="H25" i="1" s="1"/>
  <c r="G14" i="1"/>
  <c r="H14" i="1" s="1"/>
  <c r="G22" i="1"/>
  <c r="H22" i="1" s="1"/>
  <c r="G28" i="1"/>
  <c r="H28" i="1" s="1"/>
  <c r="G31" i="1"/>
  <c r="H31" i="1" s="1"/>
  <c r="G19" i="1"/>
  <c r="H19" i="1" s="1"/>
  <c r="G26" i="1"/>
  <c r="H26" i="1" s="1"/>
  <c r="G11" i="1"/>
  <c r="H11" i="1" s="1"/>
  <c r="G37" i="1"/>
  <c r="H37" i="1" s="1"/>
  <c r="G21" i="1"/>
  <c r="H21" i="1" s="1"/>
  <c r="G49" i="1" l="1"/>
  <c r="H4" i="1"/>
  <c r="H49" i="1" s="1"/>
</calcChain>
</file>

<file path=xl/sharedStrings.xml><?xml version="1.0" encoding="utf-8"?>
<sst xmlns="http://schemas.openxmlformats.org/spreadsheetml/2006/main" count="754" uniqueCount="128">
  <si>
    <t>Code</t>
  </si>
  <si>
    <t>Description</t>
  </si>
  <si>
    <t>Total</t>
  </si>
  <si>
    <t>GENERAL</t>
  </si>
  <si>
    <t>Quantity</t>
  </si>
  <si>
    <t>Unit</t>
  </si>
  <si>
    <t>Rate</t>
  </si>
  <si>
    <t>a</t>
  </si>
  <si>
    <t>Example</t>
  </si>
  <si>
    <t>ea</t>
  </si>
  <si>
    <t>PRELIMINARIES</t>
  </si>
  <si>
    <t>DEMOLITION</t>
  </si>
  <si>
    <t>GROUNDWORKS</t>
  </si>
  <si>
    <t>PILING</t>
  </si>
  <si>
    <t>CONCRETE</t>
  </si>
  <si>
    <t>FORMWORK</t>
  </si>
  <si>
    <t>REINFORCEMENT</t>
  </si>
  <si>
    <t>PRESTRESSING</t>
  </si>
  <si>
    <t>PRECAST CONCRETE</t>
  </si>
  <si>
    <t>TANKING AND WATERPROOF MEMBRANES</t>
  </si>
  <si>
    <t>MASONRY</t>
  </si>
  <si>
    <t>STONEWORK</t>
  </si>
  <si>
    <t>STRUCTURAL STEEL</t>
  </si>
  <si>
    <t>METALWORK</t>
  </si>
  <si>
    <t>ROOFING</t>
  </si>
  <si>
    <t>FAÇADE SYSTEMS</t>
  </si>
  <si>
    <t>WINDOWS</t>
  </si>
  <si>
    <t>GLAZING</t>
  </si>
  <si>
    <t>CARPENTRY</t>
  </si>
  <si>
    <t>PARTITIONS</t>
  </si>
  <si>
    <t>SUSPENDED CEILINGS</t>
  </si>
  <si>
    <t>ACCESS FLOORS</t>
  </si>
  <si>
    <t>DOORS</t>
  </si>
  <si>
    <t>HARDWARE</t>
  </si>
  <si>
    <t>APPLIED FINISHES, RENDER &amp; TEXTURED FINISHES</t>
  </si>
  <si>
    <t>TILING, SLAB AND PAVING</t>
  </si>
  <si>
    <t>CARPET AND RESILIENT FINISHES</t>
  </si>
  <si>
    <t>PAINTING</t>
  </si>
  <si>
    <t>JOINERY</t>
  </si>
  <si>
    <t>FURNITURE FITTINGS AND EQUIPMENT</t>
  </si>
  <si>
    <t>HYDRAULICS</t>
  </si>
  <si>
    <t>DRAINAGE</t>
  </si>
  <si>
    <t>ELECTRICAL INSTALLATIONS</t>
  </si>
  <si>
    <t>MECHANICAL INSTALLATIONS</t>
  </si>
  <si>
    <t>TRANSPORTATION SERVICES</t>
  </si>
  <si>
    <t>EXTERIOR ELEMENTS</t>
  </si>
  <si>
    <t>HEAD</t>
  </si>
  <si>
    <t>In accordance with The Australian Standard Method of Measurement Section 1 part 3.1 'Unless otherwise stated in this bill of quantities, work shall be measured net as fixed in position i.e.No waste has been allowed for.</t>
  </si>
  <si>
    <t>note</t>
  </si>
  <si>
    <t>This cost plan has been measured off the following documents:</t>
  </si>
  <si>
    <t>This cost plan has been measured as per ASMM 6.  standard dinension groups where a list and process was provided for quantities required.</t>
  </si>
  <si>
    <t>Architectural drawings prepared by:</t>
  </si>
  <si>
    <t>Land survey prepared by:</t>
  </si>
  <si>
    <t>&lt;&gt;</t>
  </si>
  <si>
    <t xml:space="preserve">BASIX/NATHERS Report Prepared By: </t>
  </si>
  <si>
    <t>Structural engineers details prepared by:</t>
  </si>
  <si>
    <t>Hydraulic engineers details prepared by:</t>
  </si>
  <si>
    <t>Mechanical engineers details prepared by:</t>
  </si>
  <si>
    <t>Acoustic engineers details prepared by:</t>
  </si>
  <si>
    <t xml:space="preserve">Specification / FF&amp;E Prepared By: </t>
  </si>
  <si>
    <t>Access report prepared by:</t>
  </si>
  <si>
    <t>All levels referred to in this cost plan are relevant to the architectural drawings.</t>
  </si>
  <si>
    <t>No allowance has been made for land and finance costs</t>
  </si>
  <si>
    <t>No allowance has been made for legal fees and charges</t>
  </si>
  <si>
    <t>Local Authority and Professional fees</t>
  </si>
  <si>
    <t>head</t>
  </si>
  <si>
    <t>No allowance has been made for DCD or DA &amp; CC fee and requirements unless noted</t>
  </si>
  <si>
    <t>No allowance has been made for Design, Project manager and Consultants Fees unless noted</t>
  </si>
  <si>
    <t>No allowance has been made for all local authority fees and charges including but not limited to Section 73 and Section 94 contributions unless noted</t>
  </si>
  <si>
    <t>No allowance has been made for long service leave levy unless noted</t>
  </si>
  <si>
    <t>No allowance has been made for the removal of hazardous materials such as asbestos during demolition works or for the removal of contaminated soils during excavation</t>
  </si>
  <si>
    <t>Demolition quantities &amp; pricing are considered approximate.</t>
  </si>
  <si>
    <t>Ground Works</t>
  </si>
  <si>
    <t>No allowance has been made for rock excavation</t>
  </si>
  <si>
    <t>Sheets:</t>
  </si>
  <si>
    <t xml:space="preserve">Revision: </t>
  </si>
  <si>
    <t xml:space="preserve">Being: </t>
  </si>
  <si>
    <t xml:space="preserve">Job Number: </t>
  </si>
  <si>
    <t>DOCUMENTATION</t>
  </si>
  <si>
    <t>LAND &amp; LEGALS</t>
  </si>
  <si>
    <t>DEMOLITIONS</t>
  </si>
  <si>
    <t>WINDOWS &amp; GLAZED DOORS</t>
  </si>
  <si>
    <t>If no window &amp; door schedule has been provided, measurements are assumed and follow on dimensions (lintels, heads, architraives, reveals etc.) can not be guaranteed. It is recommended that a supplier quote be obtained.</t>
  </si>
  <si>
    <t>All prices quoted are to be used as a guide only.</t>
  </si>
  <si>
    <t>All proprietary names included in this Bill of Quantities will be deemed to have the words 'or equal approved' inserted after them.</t>
  </si>
  <si>
    <t>All dimensions stated are approximate only and the Contractor will be deemed to have verified by inspection the full nature, scope and extent of the relevant work .</t>
  </si>
  <si>
    <t>Other documentation</t>
  </si>
  <si>
    <t>% of Job</t>
  </si>
  <si>
    <t>TOTAL EX</t>
  </si>
  <si>
    <t>GST</t>
  </si>
  <si>
    <t>TOTAL TENDER SUM</t>
  </si>
  <si>
    <t>TOTAL EXCLUDING GST &amp; MARGIN</t>
  </si>
  <si>
    <t>BUILDERS PROFIT</t>
  </si>
  <si>
    <t>BUILDERS OVERHEADS</t>
  </si>
  <si>
    <t>CONTINGENCY</t>
  </si>
  <si>
    <t>DEFECTS LIABILITY</t>
  </si>
  <si>
    <t>TOTAL TENDER SUM INCLUDING GST</t>
  </si>
  <si>
    <t>HOME</t>
  </si>
  <si>
    <t>TOTAL EXCLUDING GST</t>
  </si>
  <si>
    <t>YOU CAN PUT YOUR OWN VALUE HERE</t>
  </si>
  <si>
    <t>CALCULATED CELL</t>
  </si>
  <si>
    <t>OTHER CALCULATION CELL</t>
  </si>
  <si>
    <t>HYPERLINK CLICK ON THESE CELLS</t>
  </si>
  <si>
    <t>POCD</t>
  </si>
  <si>
    <t>Total POCD</t>
  </si>
  <si>
    <t>TOTAL TENDER SUM INCLUDING GST PER SQUARE METER</t>
  </si>
  <si>
    <t>M2 GFA</t>
  </si>
  <si>
    <t>NOT INCLUDED ELSEWHERE</t>
  </si>
  <si>
    <t>FIRE PROTECTION</t>
  </si>
  <si>
    <t>INCLUDED SUMS</t>
  </si>
  <si>
    <t>WORKS BY NOMINATED SUBCONTRACTORS</t>
  </si>
  <si>
    <t>DISCLAIMER</t>
  </si>
  <si>
    <t>General Items</t>
  </si>
  <si>
    <t>CD Consult's (CDC) service is provided to assist Customers to estimate required product quantities &amp; project prices. While CDC endeavours to provide you with the product quantities based on your stated job requirements, it is the responsibility of the end user (builder, architect, home owner etc) to check and confirm whether all quantities are correct and reasonable.</t>
  </si>
  <si>
    <t>Please note that CDC is not providing advice on which products are suitable for the job's requirements. It is the responsibility of the end user to specify the kind of products you want to use for each application.</t>
  </si>
  <si>
    <t>Any opinions herein are to be verified by others. We do not assume responsibility for incomplete documentation. Any items not specifically detailed where a product may be included by CDC are to be considered to have the words "...or equivalent to be verified by others" inserted after them.</t>
  </si>
  <si>
    <t xml:space="preserve">If you encounter any bugs or issues, please contact us immediately. </t>
  </si>
  <si>
    <t>Intended Client</t>
  </si>
  <si>
    <t xml:space="preserve">This estimate has been prepared for exclusive use by: </t>
  </si>
  <si>
    <t>BUILDER</t>
  </si>
  <si>
    <t>The contents of this cost report are non transferable to any other person or entity. This estimate remains the property of the issuer and for mentioned user.</t>
  </si>
  <si>
    <t>40</t>
  </si>
  <si>
    <t>41</t>
  </si>
  <si>
    <t>42</t>
  </si>
  <si>
    <t>43</t>
  </si>
  <si>
    <t>PEST CONTROL</t>
  </si>
  <si>
    <t>SIGNAGE</t>
  </si>
  <si>
    <t>ANZSMM 2022 - TEMPLATE_V1.0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</si>
</sst>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5" x14ac:knownFonts="1">
    <font>
      <sz val="10"/>
      <name val="Arial"/>
    </font>
    <font>
      <sz val="10"/>
      <name val="Trebuchet MS"/>
      <family val="2"/>
    </font>
    <font>
      <b/>
      <sz val="12"/>
      <name val="Trebuchet MS"/>
      <family val="2"/>
    </font>
    <font>
      <b/>
      <sz val="10"/>
      <name val="Trebuchet MS"/>
      <family val="2"/>
    </font>
    <font>
      <sz val="8"/>
      <name val="Trebuchet MS"/>
      <family val="2"/>
    </font>
    <font>
      <b/>
      <sz val="8"/>
      <name val="Trebuchet MS"/>
      <family val="2"/>
    </font>
    <font>
      <sz val="10"/>
      <name val="Arial"/>
      <family val="2"/>
    </font>
    <font>
      <b/>
      <sz val="10"/>
      <name val="Arial"/>
      <family val="2"/>
    </font>
    <font>
      <sz val="10"/>
      <name val="Arial"/>
      <family val="2"/>
    </font>
    <font>
      <sz val="12"/>
      <color rgb="FF3F3F76"/>
      <name val="Calibri"/>
      <family val="2"/>
      <scheme val="minor"/>
    </font>
    <font>
      <b/>
      <sz val="12"/>
      <color rgb="FFFA7D00"/>
      <name val="Calibri"/>
      <family val="2"/>
      <scheme val="minor"/>
    </font>
    <font>
      <b/>
      <i/>
      <sz val="10"/>
      <name val="Arial"/>
      <family val="2"/>
    </font>
    <font>
      <b/>
      <i/>
      <sz val="8"/>
      <name val="Trebuchet MS"/>
      <family val="2"/>
    </font>
    <font>
      <u/>
      <sz val="10"/>
      <color theme="10"/>
      <name val="Arial"/>
      <family val="2"/>
    </font>
    <font>
      <i/>
      <sz val="10"/>
      <name val="Arial"/>
      <family val="2"/>
    </font>
  </fonts>
  <fills count="5">
    <fill>
      <patternFill patternType="none"/>
    </fill>
    <fill>
      <patternFill patternType="gray125"/>
    </fill>
    <fill>
      <patternFill patternType="solid">
        <fgColor rgb="FFFFCC99"/>
      </patternFill>
    </fill>
    <fill>
      <patternFill patternType="solid">
        <fgColor rgb="FFF2F2F2"/>
      </patternFill>
    </fill>
    <fill>
      <patternFill patternType="solid">
        <fgColor theme="8" tint="0.79998168889431442"/>
        <bgColor indexed="64"/>
      </patternFill>
    </fill>
  </fills>
  <borders count="7">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s>
  <cellStyleXfs count="6">
    <xf numFmtId="0" fontId="0" fillId="0" borderId="0"/>
    <xf numFmtId="44" fontId="8" fillId="0" borderId="0" applyFont="0" applyFill="0" applyBorder="0" applyAlignment="0" applyProtection="0"/>
    <xf numFmtId="9" fontId="8" fillId="0" borderId="0" applyFont="0" applyFill="0" applyBorder="0" applyAlignment="0" applyProtection="0"/>
    <xf numFmtId="0" fontId="9" fillId="2" borderId="1" applyNumberFormat="0" applyAlignment="0" applyProtection="0"/>
    <xf numFmtId="0" fontId="10" fillId="3" borderId="1" applyNumberFormat="0" applyAlignment="0" applyProtection="0"/>
    <xf numFmtId="0" fontId="13" fillId="0" borderId="0" applyNumberFormat="0" applyFill="0" applyBorder="0" applyAlignment="0" applyProtection="0"/>
  </cellStyleXfs>
  <cellXfs count="53">
    <xf numFmtId="0" fontId="0" fillId="0" borderId="0" xfId="0"/>
    <xf numFmtId="0" fontId="3" fillId="0" borderId="0" xfId="0" applyFont="1" applyAlignment="1">
      <alignment horizontal="left"/>
    </xf>
    <xf numFmtId="0" fontId="3" fillId="0" borderId="0" xfId="0" applyFont="1" applyAlignment="1">
      <alignment horizontal="right"/>
    </xf>
    <xf numFmtId="0" fontId="4" fillId="0" borderId="0" xfId="0" applyFont="1" applyAlignment="1">
      <alignment vertical="center"/>
    </xf>
    <xf numFmtId="0" fontId="4" fillId="0" borderId="0" xfId="0" applyFont="1" applyAlignment="1">
      <alignment horizontal="left" vertical="center"/>
    </xf>
    <xf numFmtId="3" fontId="4" fillId="0" borderId="0" xfId="0" applyNumberFormat="1" applyFont="1" applyAlignment="1">
      <alignment vertical="center"/>
    </xf>
    <xf numFmtId="3" fontId="4" fillId="0" borderId="0" xfId="0" applyNumberFormat="1" applyFont="1" applyAlignment="1">
      <alignment horizontal="left" vertical="center"/>
    </xf>
    <xf numFmtId="0" fontId="5" fillId="0" borderId="0" xfId="0" applyFont="1" applyAlignment="1">
      <alignment vertical="center"/>
    </xf>
    <xf numFmtId="3" fontId="1" fillId="0" borderId="0" xfId="0" applyNumberFormat="1" applyFont="1" applyAlignment="1">
      <alignment horizontal="right"/>
    </xf>
    <xf numFmtId="3" fontId="3" fillId="0" borderId="0" xfId="0" applyNumberFormat="1" applyFont="1" applyAlignment="1">
      <alignment horizontal="right"/>
    </xf>
    <xf numFmtId="0" fontId="0" fillId="0" borderId="0" xfId="0" applyAlignment="1">
      <alignment wrapText="1"/>
    </xf>
    <xf numFmtId="0" fontId="3" fillId="0" borderId="0" xfId="0" applyFont="1" applyAlignment="1">
      <alignment horizontal="left" wrapText="1"/>
    </xf>
    <xf numFmtId="0" fontId="6" fillId="0" borderId="0" xfId="0" applyFont="1" applyAlignment="1">
      <alignment wrapText="1"/>
    </xf>
    <xf numFmtId="0" fontId="7" fillId="0" borderId="0" xfId="0" applyFont="1" applyAlignment="1">
      <alignment wrapText="1"/>
    </xf>
    <xf numFmtId="0" fontId="7" fillId="0" borderId="0" xfId="0" applyFont="1"/>
    <xf numFmtId="0" fontId="3" fillId="0" borderId="2" xfId="0" applyFont="1" applyBorder="1" applyAlignment="1">
      <alignment horizontal="left"/>
    </xf>
    <xf numFmtId="0" fontId="3" fillId="0" borderId="2" xfId="0" applyFont="1" applyBorder="1" applyAlignment="1">
      <alignment horizontal="right"/>
    </xf>
    <xf numFmtId="0" fontId="11" fillId="0" borderId="2" xfId="0" applyFont="1" applyBorder="1" applyAlignment="1">
      <alignment horizontal="center"/>
    </xf>
    <xf numFmtId="10" fontId="8" fillId="4" borderId="2" xfId="2" applyNumberFormat="1" applyFill="1" applyBorder="1"/>
    <xf numFmtId="44" fontId="8" fillId="4" borderId="2" xfId="1" applyFill="1" applyBorder="1"/>
    <xf numFmtId="3" fontId="10" fillId="3" borderId="2" xfId="4" applyNumberFormat="1" applyBorder="1" applyAlignment="1">
      <alignment horizontal="right"/>
    </xf>
    <xf numFmtId="3" fontId="1" fillId="0" borderId="2" xfId="0" applyNumberFormat="1" applyFont="1" applyBorder="1" applyAlignment="1">
      <alignment horizontal="right"/>
    </xf>
    <xf numFmtId="3" fontId="4" fillId="0" borderId="2" xfId="0" applyNumberFormat="1" applyFont="1" applyBorder="1" applyAlignment="1">
      <alignment horizontal="left" vertical="center"/>
    </xf>
    <xf numFmtId="3" fontId="3" fillId="0" borderId="2" xfId="0" applyNumberFormat="1" applyFont="1" applyBorder="1" applyAlignment="1">
      <alignment horizontal="right"/>
    </xf>
    <xf numFmtId="10" fontId="9" fillId="2" borderId="2" xfId="3" applyNumberFormat="1" applyBorder="1"/>
    <xf numFmtId="3" fontId="12" fillId="0" borderId="2" xfId="0" applyNumberFormat="1" applyFont="1" applyBorder="1" applyAlignment="1">
      <alignment horizontal="right" vertical="center"/>
    </xf>
    <xf numFmtId="3" fontId="4" fillId="0" borderId="3" xfId="0" applyNumberFormat="1" applyFont="1" applyBorder="1" applyAlignment="1">
      <alignment horizontal="left" vertical="center"/>
    </xf>
    <xf numFmtId="44" fontId="10" fillId="3" borderId="2" xfId="4" applyNumberFormat="1" applyBorder="1"/>
    <xf numFmtId="3" fontId="5" fillId="0" borderId="3" xfId="0" applyNumberFormat="1" applyFont="1" applyBorder="1" applyAlignment="1">
      <alignment horizontal="left" vertical="center"/>
    </xf>
    <xf numFmtId="10" fontId="9" fillId="2" borderId="4" xfId="3" applyNumberFormat="1" applyBorder="1"/>
    <xf numFmtId="44" fontId="0" fillId="0" borderId="0" xfId="0" applyNumberFormat="1"/>
    <xf numFmtId="0" fontId="1" fillId="0" borderId="2" xfId="0" applyFont="1" applyBorder="1" applyAlignment="1">
      <alignment horizontal="right"/>
    </xf>
    <xf numFmtId="0" fontId="1" fillId="0" borderId="3" xfId="0" applyFont="1" applyBorder="1"/>
    <xf numFmtId="0" fontId="3" fillId="0" borderId="2" xfId="0" applyFont="1" applyBorder="1"/>
    <xf numFmtId="3" fontId="3" fillId="0" borderId="2" xfId="0" applyNumberFormat="1" applyFont="1" applyBorder="1" applyAlignment="1">
      <alignment horizontal="left"/>
    </xf>
    <xf numFmtId="10" fontId="7" fillId="4" borderId="2" xfId="2" applyNumberFormat="1" applyFont="1" applyFill="1" applyBorder="1"/>
    <xf numFmtId="0" fontId="13" fillId="0" borderId="0" xfId="5" applyAlignment="1">
      <alignment horizontal="center"/>
    </xf>
    <xf numFmtId="0" fontId="10" fillId="3" borderId="1" xfId="4"/>
    <xf numFmtId="0" fontId="13" fillId="0" borderId="2" xfId="5" applyBorder="1" applyAlignment="1">
      <alignment horizontal="left" vertical="center"/>
    </xf>
    <xf numFmtId="3" fontId="13" fillId="0" borderId="2" xfId="5" applyNumberFormat="1" applyBorder="1" applyAlignment="1">
      <alignment horizontal="left" vertical="center"/>
    </xf>
    <xf numFmtId="3" fontId="10" fillId="3" borderId="1" xfId="4" applyNumberFormat="1" applyAlignment="1">
      <alignment horizontal="right"/>
    </xf>
    <xf numFmtId="4" fontId="10" fillId="3" borderId="2" xfId="4" applyNumberFormat="1" applyBorder="1" applyAlignment="1">
      <alignment horizontal="right"/>
    </xf>
    <xf numFmtId="44" fontId="7" fillId="4" borderId="2" xfId="1" applyFont="1" applyFill="1" applyBorder="1"/>
    <xf numFmtId="0" fontId="9" fillId="2" borderId="1" xfId="3"/>
    <xf numFmtId="44" fontId="6" fillId="4" borderId="2" xfId="1" applyFont="1" applyFill="1" applyBorder="1"/>
    <xf numFmtId="0" fontId="13" fillId="0" borderId="2" xfId="5" applyBorder="1"/>
    <xf numFmtId="0" fontId="9" fillId="2" borderId="5" xfId="3" applyBorder="1"/>
    <xf numFmtId="0" fontId="14" fillId="0" borderId="2" xfId="0" applyFont="1" applyBorder="1"/>
    <xf numFmtId="3" fontId="10" fillId="3" borderId="6" xfId="4" applyNumberFormat="1" applyBorder="1" applyAlignment="1">
      <alignment horizontal="right"/>
    </xf>
    <xf numFmtId="49" fontId="0" fillId="0" borderId="2" xfId="0" applyNumberFormat="1" applyBorder="1"/>
    <xf numFmtId="49" fontId="6" fillId="0" borderId="2" xfId="0" applyNumberFormat="1" applyFont="1" applyBorder="1"/>
    <xf numFmtId="0" fontId="2" fillId="0" borderId="0" xfId="0" applyFont="1" applyAlignment="1">
      <alignment horizontal="center"/>
    </xf>
    <xf numFmtId="0" fontId="0" fillId="0" borderId="0" xfId="0"/>
  </cellXfs>
  <cellStyles count="6">
    <cellStyle name="Calculation" xfId="4" builtinId="22"/>
    <cellStyle name="Currency" xfId="1" builtinId="4"/>
    <cellStyle name="Hyperlink" xfId="5" builtinId="8"/>
    <cellStyle name="Input" xfId="3" builtinId="20"/>
    <cellStyle name="Normal" xfId="0" builtinId="0"/>
    <cellStyle name="Per 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7"/>
  <sheetViews>
    <sheetView zoomScale="130" zoomScaleNormal="130" workbookViewId="0">
      <selection activeCell="B4" sqref="B4"/>
    </sheetView>
  </sheetViews>
  <sheetFormatPr baseColWidth="10" defaultColWidth="9.1640625" defaultRowHeight="13" x14ac:dyDescent="0.15"/>
  <cols>
    <col min="1" max="1" width="8.6640625" bestFit="1" customWidth="1"/>
    <col min="2" max="2" width="62.6640625" customWidth="1"/>
    <col min="3" max="3" width="12.5" bestFit="1" customWidth="1"/>
    <col min="5" max="5" width="11.1640625" bestFit="1" customWidth="1"/>
    <col min="6" max="6" width="12.1640625" bestFit="1" customWidth="1"/>
    <col min="7" max="7" width="11.1640625" bestFit="1" customWidth="1"/>
    <col min="8" max="8" width="18.6640625" bestFit="1" customWidth="1"/>
  </cols>
  <sheetData>
    <row r="1" spans="1:8" ht="16" x14ac:dyDescent="0.2">
      <c r="A1" s="51" t="s">
        <v>127</v>
      </c>
      <c r="B1" s="52"/>
      <c r="C1" s="52"/>
    </row>
    <row r="3" spans="1:8" x14ac:dyDescent="0.15">
      <c r="A3" s="15" t="s">
        <v>0</v>
      </c>
      <c r="B3" s="15" t="s">
        <v>1</v>
      </c>
      <c r="C3" s="16" t="s">
        <v>2</v>
      </c>
      <c r="D3" s="17" t="s">
        <v>87</v>
      </c>
      <c r="E3" s="17" t="s">
        <v>103</v>
      </c>
      <c r="F3" s="17" t="s">
        <v>88</v>
      </c>
      <c r="G3" s="17" t="s">
        <v>89</v>
      </c>
      <c r="H3" s="17" t="s">
        <v>90</v>
      </c>
    </row>
    <row r="4" spans="1:8" ht="16" x14ac:dyDescent="0.2">
      <c r="A4" s="49">
        <v>0</v>
      </c>
      <c r="B4" s="38" t="s">
        <v>111</v>
      </c>
      <c r="C4" s="40">
        <f>'0-DISCLAIMER'!F1</f>
        <v>0</v>
      </c>
      <c r="D4" s="18">
        <f>IFERROR(C4/C$49,0)</f>
        <v>0</v>
      </c>
      <c r="E4" s="19">
        <f t="shared" ref="E4:E47" si="0">D4*C$55</f>
        <v>0</v>
      </c>
      <c r="F4" s="19">
        <f>C4+E4</f>
        <v>0</v>
      </c>
      <c r="G4" s="19">
        <f t="shared" ref="G4:G47" si="1">D4*C$58</f>
        <v>0</v>
      </c>
      <c r="H4" s="19">
        <f>G4+F4</f>
        <v>0</v>
      </c>
    </row>
    <row r="5" spans="1:8" ht="16" x14ac:dyDescent="0.2">
      <c r="A5" s="49">
        <v>1</v>
      </c>
      <c r="B5" s="38" t="s">
        <v>3</v>
      </c>
      <c r="C5" s="40">
        <f>SUM('1-GENERAL'!F1)</f>
        <v>0</v>
      </c>
      <c r="D5" s="18">
        <f t="shared" ref="D5:D47" si="2">IFERROR(C5/C$49,0)</f>
        <v>0</v>
      </c>
      <c r="E5" s="19">
        <f t="shared" si="0"/>
        <v>0</v>
      </c>
      <c r="F5" s="19">
        <f>C5+E5</f>
        <v>0</v>
      </c>
      <c r="G5" s="19">
        <f t="shared" si="1"/>
        <v>0</v>
      </c>
      <c r="H5" s="19">
        <f>G5+F5</f>
        <v>0</v>
      </c>
    </row>
    <row r="6" spans="1:8" ht="16" x14ac:dyDescent="0.2">
      <c r="A6" s="49">
        <v>2</v>
      </c>
      <c r="B6" s="39" t="s">
        <v>10</v>
      </c>
      <c r="C6" s="40">
        <f>SUM('2-PRELIMINARIES'!F1)</f>
        <v>0</v>
      </c>
      <c r="D6" s="18">
        <f t="shared" si="2"/>
        <v>0</v>
      </c>
      <c r="E6" s="19">
        <f t="shared" si="0"/>
        <v>0</v>
      </c>
      <c r="F6" s="19">
        <f>C6+E6</f>
        <v>0</v>
      </c>
      <c r="G6" s="19">
        <f t="shared" si="1"/>
        <v>0</v>
      </c>
      <c r="H6" s="19">
        <f t="shared" ref="H6:H46" si="3">G6+F6</f>
        <v>0</v>
      </c>
    </row>
    <row r="7" spans="1:8" ht="16" x14ac:dyDescent="0.2">
      <c r="A7" s="49">
        <v>3</v>
      </c>
      <c r="B7" s="39" t="s">
        <v>11</v>
      </c>
      <c r="C7" s="40">
        <f>SUM('3-DEMOLITION'!F1)</f>
        <v>0</v>
      </c>
      <c r="D7" s="18">
        <f t="shared" si="2"/>
        <v>0</v>
      </c>
      <c r="E7" s="19">
        <f t="shared" si="0"/>
        <v>0</v>
      </c>
      <c r="F7" s="19">
        <f t="shared" ref="F7:F46" si="4">C7+E7</f>
        <v>0</v>
      </c>
      <c r="G7" s="19">
        <f t="shared" si="1"/>
        <v>0</v>
      </c>
      <c r="H7" s="19">
        <f t="shared" si="3"/>
        <v>0</v>
      </c>
    </row>
    <row r="8" spans="1:8" ht="16" x14ac:dyDescent="0.2">
      <c r="A8" s="49">
        <v>4</v>
      </c>
      <c r="B8" s="39" t="s">
        <v>12</v>
      </c>
      <c r="C8" s="40">
        <f>SUM('4-GROUNDWORKS'!F1)</f>
        <v>0</v>
      </c>
      <c r="D8" s="18">
        <f t="shared" si="2"/>
        <v>0</v>
      </c>
      <c r="E8" s="19">
        <f t="shared" si="0"/>
        <v>0</v>
      </c>
      <c r="F8" s="19">
        <f t="shared" si="4"/>
        <v>0</v>
      </c>
      <c r="G8" s="19">
        <f t="shared" si="1"/>
        <v>0</v>
      </c>
      <c r="H8" s="19">
        <f t="shared" si="3"/>
        <v>0</v>
      </c>
    </row>
    <row r="9" spans="1:8" ht="16" x14ac:dyDescent="0.2">
      <c r="A9" s="49">
        <v>5</v>
      </c>
      <c r="B9" s="39" t="s">
        <v>13</v>
      </c>
      <c r="C9" s="40">
        <f>SUM('5-PILING'!F1)</f>
        <v>0</v>
      </c>
      <c r="D9" s="18">
        <f t="shared" si="2"/>
        <v>0</v>
      </c>
      <c r="E9" s="19">
        <f t="shared" si="0"/>
        <v>0</v>
      </c>
      <c r="F9" s="19">
        <f t="shared" si="4"/>
        <v>0</v>
      </c>
      <c r="G9" s="19">
        <f t="shared" si="1"/>
        <v>0</v>
      </c>
      <c r="H9" s="19">
        <f t="shared" si="3"/>
        <v>0</v>
      </c>
    </row>
    <row r="10" spans="1:8" ht="16" x14ac:dyDescent="0.2">
      <c r="A10" s="49">
        <v>6</v>
      </c>
      <c r="B10" s="39" t="s">
        <v>14</v>
      </c>
      <c r="C10" s="40">
        <f>SUM('6-CONCRETE'!F1)</f>
        <v>0</v>
      </c>
      <c r="D10" s="18">
        <f t="shared" si="2"/>
        <v>0</v>
      </c>
      <c r="E10" s="19">
        <f t="shared" si="0"/>
        <v>0</v>
      </c>
      <c r="F10" s="19">
        <f t="shared" si="4"/>
        <v>0</v>
      </c>
      <c r="G10" s="19">
        <f t="shared" si="1"/>
        <v>0</v>
      </c>
      <c r="H10" s="19">
        <f t="shared" si="3"/>
        <v>0</v>
      </c>
    </row>
    <row r="11" spans="1:8" ht="16" x14ac:dyDescent="0.2">
      <c r="A11" s="49">
        <v>7</v>
      </c>
      <c r="B11" s="39" t="s">
        <v>15</v>
      </c>
      <c r="C11" s="40">
        <f>SUM('7-FORMWORK'!F1)</f>
        <v>0</v>
      </c>
      <c r="D11" s="18">
        <f t="shared" si="2"/>
        <v>0</v>
      </c>
      <c r="E11" s="19">
        <f t="shared" si="0"/>
        <v>0</v>
      </c>
      <c r="F11" s="19">
        <f t="shared" si="4"/>
        <v>0</v>
      </c>
      <c r="G11" s="19">
        <f t="shared" si="1"/>
        <v>0</v>
      </c>
      <c r="H11" s="19">
        <f t="shared" si="3"/>
        <v>0</v>
      </c>
    </row>
    <row r="12" spans="1:8" ht="16" x14ac:dyDescent="0.2">
      <c r="A12" s="49">
        <v>8</v>
      </c>
      <c r="B12" s="39" t="s">
        <v>16</v>
      </c>
      <c r="C12" s="40">
        <f>SUM('8-REINFORCEMENT'!F1)</f>
        <v>0</v>
      </c>
      <c r="D12" s="18">
        <f t="shared" si="2"/>
        <v>0</v>
      </c>
      <c r="E12" s="19">
        <f t="shared" si="0"/>
        <v>0</v>
      </c>
      <c r="F12" s="19">
        <f t="shared" si="4"/>
        <v>0</v>
      </c>
      <c r="G12" s="19">
        <f t="shared" si="1"/>
        <v>0</v>
      </c>
      <c r="H12" s="19">
        <f t="shared" si="3"/>
        <v>0</v>
      </c>
    </row>
    <row r="13" spans="1:8" ht="16" x14ac:dyDescent="0.2">
      <c r="A13" s="49">
        <v>9</v>
      </c>
      <c r="B13" s="39" t="s">
        <v>17</v>
      </c>
      <c r="C13" s="40">
        <f>SUM('9-PRESTRESSING'!F1)</f>
        <v>0</v>
      </c>
      <c r="D13" s="18">
        <f t="shared" si="2"/>
        <v>0</v>
      </c>
      <c r="E13" s="19">
        <f t="shared" si="0"/>
        <v>0</v>
      </c>
      <c r="F13" s="19">
        <f t="shared" si="4"/>
        <v>0</v>
      </c>
      <c r="G13" s="19">
        <f t="shared" si="1"/>
        <v>0</v>
      </c>
      <c r="H13" s="19">
        <f t="shared" si="3"/>
        <v>0</v>
      </c>
    </row>
    <row r="14" spans="1:8" ht="16" x14ac:dyDescent="0.2">
      <c r="A14" s="49">
        <v>10</v>
      </c>
      <c r="B14" s="39" t="s">
        <v>18</v>
      </c>
      <c r="C14" s="40">
        <f>SUM('10-PRECAST CONCRETE'!F1)</f>
        <v>0</v>
      </c>
      <c r="D14" s="18">
        <f t="shared" si="2"/>
        <v>0</v>
      </c>
      <c r="E14" s="19">
        <f t="shared" si="0"/>
        <v>0</v>
      </c>
      <c r="F14" s="19">
        <f t="shared" si="4"/>
        <v>0</v>
      </c>
      <c r="G14" s="19">
        <f t="shared" si="1"/>
        <v>0</v>
      </c>
      <c r="H14" s="19">
        <f t="shared" si="3"/>
        <v>0</v>
      </c>
    </row>
    <row r="15" spans="1:8" ht="16" x14ac:dyDescent="0.2">
      <c r="A15" s="49">
        <v>11</v>
      </c>
      <c r="B15" s="39" t="s">
        <v>19</v>
      </c>
      <c r="C15" s="40">
        <f>SUM('11-TANKING AND WATERPROOF MEMBR'!F1)</f>
        <v>0</v>
      </c>
      <c r="D15" s="18">
        <f t="shared" si="2"/>
        <v>0</v>
      </c>
      <c r="E15" s="19">
        <f t="shared" si="0"/>
        <v>0</v>
      </c>
      <c r="F15" s="19">
        <f t="shared" si="4"/>
        <v>0</v>
      </c>
      <c r="G15" s="19">
        <f t="shared" si="1"/>
        <v>0</v>
      </c>
      <c r="H15" s="19">
        <f t="shared" si="3"/>
        <v>0</v>
      </c>
    </row>
    <row r="16" spans="1:8" ht="16" x14ac:dyDescent="0.2">
      <c r="A16" s="49">
        <v>12</v>
      </c>
      <c r="B16" s="39" t="s">
        <v>20</v>
      </c>
      <c r="C16" s="40">
        <f>SUM('12-MASONRY'!F1)</f>
        <v>0</v>
      </c>
      <c r="D16" s="18">
        <f t="shared" si="2"/>
        <v>0</v>
      </c>
      <c r="E16" s="19">
        <f t="shared" si="0"/>
        <v>0</v>
      </c>
      <c r="F16" s="19">
        <f t="shared" si="4"/>
        <v>0</v>
      </c>
      <c r="G16" s="19">
        <f t="shared" si="1"/>
        <v>0</v>
      </c>
      <c r="H16" s="19">
        <f t="shared" si="3"/>
        <v>0</v>
      </c>
    </row>
    <row r="17" spans="1:8" ht="16" x14ac:dyDescent="0.2">
      <c r="A17" s="49">
        <v>13</v>
      </c>
      <c r="B17" s="39" t="s">
        <v>21</v>
      </c>
      <c r="C17" s="40">
        <f>SUM('13-STONEWORK'!F1)</f>
        <v>0</v>
      </c>
      <c r="D17" s="18">
        <f t="shared" si="2"/>
        <v>0</v>
      </c>
      <c r="E17" s="19">
        <f t="shared" si="0"/>
        <v>0</v>
      </c>
      <c r="F17" s="19">
        <f t="shared" si="4"/>
        <v>0</v>
      </c>
      <c r="G17" s="19">
        <f t="shared" si="1"/>
        <v>0</v>
      </c>
      <c r="H17" s="19">
        <f t="shared" si="3"/>
        <v>0</v>
      </c>
    </row>
    <row r="18" spans="1:8" ht="16" x14ac:dyDescent="0.2">
      <c r="A18" s="49">
        <v>14</v>
      </c>
      <c r="B18" s="39" t="s">
        <v>22</v>
      </c>
      <c r="C18" s="40">
        <f>SUM('14-STRUCTURAL STEEL'!F1)</f>
        <v>0</v>
      </c>
      <c r="D18" s="18">
        <f t="shared" si="2"/>
        <v>0</v>
      </c>
      <c r="E18" s="19">
        <f t="shared" si="0"/>
        <v>0</v>
      </c>
      <c r="F18" s="19">
        <f t="shared" si="4"/>
        <v>0</v>
      </c>
      <c r="G18" s="19">
        <f t="shared" si="1"/>
        <v>0</v>
      </c>
      <c r="H18" s="19">
        <f t="shared" si="3"/>
        <v>0</v>
      </c>
    </row>
    <row r="19" spans="1:8" ht="16" x14ac:dyDescent="0.2">
      <c r="A19" s="49">
        <v>15</v>
      </c>
      <c r="B19" s="39" t="s">
        <v>23</v>
      </c>
      <c r="C19" s="40">
        <f>SUM('15-METALWORK'!F1)</f>
        <v>0</v>
      </c>
      <c r="D19" s="18">
        <f t="shared" si="2"/>
        <v>0</v>
      </c>
      <c r="E19" s="19">
        <f t="shared" si="0"/>
        <v>0</v>
      </c>
      <c r="F19" s="19">
        <f t="shared" si="4"/>
        <v>0</v>
      </c>
      <c r="G19" s="19">
        <f t="shared" si="1"/>
        <v>0</v>
      </c>
      <c r="H19" s="19">
        <f t="shared" si="3"/>
        <v>0</v>
      </c>
    </row>
    <row r="20" spans="1:8" ht="16" x14ac:dyDescent="0.2">
      <c r="A20" s="49">
        <v>16</v>
      </c>
      <c r="B20" s="39" t="s">
        <v>24</v>
      </c>
      <c r="C20" s="40">
        <f>SUM('16-ROOFING'!F1)</f>
        <v>0</v>
      </c>
      <c r="D20" s="18">
        <f t="shared" si="2"/>
        <v>0</v>
      </c>
      <c r="E20" s="19">
        <f t="shared" si="0"/>
        <v>0</v>
      </c>
      <c r="F20" s="19">
        <f t="shared" si="4"/>
        <v>0</v>
      </c>
      <c r="G20" s="19">
        <f t="shared" si="1"/>
        <v>0</v>
      </c>
      <c r="H20" s="19">
        <f t="shared" si="3"/>
        <v>0</v>
      </c>
    </row>
    <row r="21" spans="1:8" ht="16" x14ac:dyDescent="0.2">
      <c r="A21" s="49">
        <v>17</v>
      </c>
      <c r="B21" s="39" t="s">
        <v>25</v>
      </c>
      <c r="C21" s="40">
        <f>SUM('17-FAÇADE SYSTEMS'!F1)</f>
        <v>0</v>
      </c>
      <c r="D21" s="18">
        <f t="shared" si="2"/>
        <v>0</v>
      </c>
      <c r="E21" s="19">
        <f t="shared" si="0"/>
        <v>0</v>
      </c>
      <c r="F21" s="19">
        <f t="shared" si="4"/>
        <v>0</v>
      </c>
      <c r="G21" s="19">
        <f t="shared" si="1"/>
        <v>0</v>
      </c>
      <c r="H21" s="19">
        <f t="shared" si="3"/>
        <v>0</v>
      </c>
    </row>
    <row r="22" spans="1:8" ht="16" x14ac:dyDescent="0.2">
      <c r="A22" s="49">
        <v>18</v>
      </c>
      <c r="B22" s="39" t="s">
        <v>26</v>
      </c>
      <c r="C22" s="40">
        <f>SUM('18-WINDOWS'!F1)</f>
        <v>0</v>
      </c>
      <c r="D22" s="18">
        <f t="shared" si="2"/>
        <v>0</v>
      </c>
      <c r="E22" s="19">
        <f t="shared" si="0"/>
        <v>0</v>
      </c>
      <c r="F22" s="19">
        <f t="shared" si="4"/>
        <v>0</v>
      </c>
      <c r="G22" s="19">
        <f t="shared" si="1"/>
        <v>0</v>
      </c>
      <c r="H22" s="19">
        <f t="shared" si="3"/>
        <v>0</v>
      </c>
    </row>
    <row r="23" spans="1:8" ht="16" x14ac:dyDescent="0.2">
      <c r="A23" s="49">
        <v>19</v>
      </c>
      <c r="B23" s="39" t="s">
        <v>27</v>
      </c>
      <c r="C23" s="40">
        <f>SUM('19-GLAZING'!F1)</f>
        <v>0</v>
      </c>
      <c r="D23" s="18">
        <f t="shared" si="2"/>
        <v>0</v>
      </c>
      <c r="E23" s="19">
        <f t="shared" si="0"/>
        <v>0</v>
      </c>
      <c r="F23" s="19">
        <f t="shared" si="4"/>
        <v>0</v>
      </c>
      <c r="G23" s="19">
        <f t="shared" si="1"/>
        <v>0</v>
      </c>
      <c r="H23" s="19">
        <f t="shared" si="3"/>
        <v>0</v>
      </c>
    </row>
    <row r="24" spans="1:8" ht="16" x14ac:dyDescent="0.2">
      <c r="A24" s="49">
        <v>20</v>
      </c>
      <c r="B24" s="39" t="s">
        <v>28</v>
      </c>
      <c r="C24" s="40">
        <f>SUM('20-CARPENTRY'!F1)</f>
        <v>0</v>
      </c>
      <c r="D24" s="18">
        <f t="shared" si="2"/>
        <v>0</v>
      </c>
      <c r="E24" s="19">
        <f t="shared" si="0"/>
        <v>0</v>
      </c>
      <c r="F24" s="19">
        <f t="shared" si="4"/>
        <v>0</v>
      </c>
      <c r="G24" s="19">
        <f t="shared" si="1"/>
        <v>0</v>
      </c>
      <c r="H24" s="19">
        <f t="shared" si="3"/>
        <v>0</v>
      </c>
    </row>
    <row r="25" spans="1:8" ht="16" x14ac:dyDescent="0.2">
      <c r="A25" s="49">
        <v>21</v>
      </c>
      <c r="B25" s="39" t="s">
        <v>29</v>
      </c>
      <c r="C25" s="40">
        <f>SUM('21-PARTITIONS'!F1)</f>
        <v>0</v>
      </c>
      <c r="D25" s="18">
        <f t="shared" si="2"/>
        <v>0</v>
      </c>
      <c r="E25" s="19">
        <f t="shared" si="0"/>
        <v>0</v>
      </c>
      <c r="F25" s="19">
        <f t="shared" si="4"/>
        <v>0</v>
      </c>
      <c r="G25" s="19">
        <f t="shared" si="1"/>
        <v>0</v>
      </c>
      <c r="H25" s="19">
        <f t="shared" si="3"/>
        <v>0</v>
      </c>
    </row>
    <row r="26" spans="1:8" ht="16" x14ac:dyDescent="0.2">
      <c r="A26" s="49">
        <v>22</v>
      </c>
      <c r="B26" s="39" t="s">
        <v>30</v>
      </c>
      <c r="C26" s="40">
        <f>SUM('22-SUSPENDED CEILINGS'!F1)</f>
        <v>0</v>
      </c>
      <c r="D26" s="18">
        <f t="shared" si="2"/>
        <v>0</v>
      </c>
      <c r="E26" s="19">
        <f t="shared" si="0"/>
        <v>0</v>
      </c>
      <c r="F26" s="19">
        <f t="shared" si="4"/>
        <v>0</v>
      </c>
      <c r="G26" s="19">
        <f t="shared" si="1"/>
        <v>0</v>
      </c>
      <c r="H26" s="19">
        <f t="shared" si="3"/>
        <v>0</v>
      </c>
    </row>
    <row r="27" spans="1:8" ht="16" x14ac:dyDescent="0.2">
      <c r="A27" s="49">
        <v>23</v>
      </c>
      <c r="B27" s="39" t="s">
        <v>31</v>
      </c>
      <c r="C27" s="40">
        <f>SUM('23-ACCESS FLOORS'!F1)</f>
        <v>0</v>
      </c>
      <c r="D27" s="18">
        <f t="shared" si="2"/>
        <v>0</v>
      </c>
      <c r="E27" s="19">
        <f t="shared" si="0"/>
        <v>0</v>
      </c>
      <c r="F27" s="19">
        <f t="shared" si="4"/>
        <v>0</v>
      </c>
      <c r="G27" s="19">
        <f t="shared" si="1"/>
        <v>0</v>
      </c>
      <c r="H27" s="19">
        <f t="shared" si="3"/>
        <v>0</v>
      </c>
    </row>
    <row r="28" spans="1:8" ht="16" x14ac:dyDescent="0.2">
      <c r="A28" s="49">
        <v>24</v>
      </c>
      <c r="B28" s="39" t="s">
        <v>32</v>
      </c>
      <c r="C28" s="40">
        <f>SUM('24-DOORS'!F1)</f>
        <v>0</v>
      </c>
      <c r="D28" s="18">
        <f t="shared" si="2"/>
        <v>0</v>
      </c>
      <c r="E28" s="19">
        <f t="shared" si="0"/>
        <v>0</v>
      </c>
      <c r="F28" s="19">
        <f t="shared" si="4"/>
        <v>0</v>
      </c>
      <c r="G28" s="19">
        <f t="shared" si="1"/>
        <v>0</v>
      </c>
      <c r="H28" s="19">
        <f t="shared" si="3"/>
        <v>0</v>
      </c>
    </row>
    <row r="29" spans="1:8" ht="16" x14ac:dyDescent="0.2">
      <c r="A29" s="49">
        <v>25</v>
      </c>
      <c r="B29" s="39" t="s">
        <v>33</v>
      </c>
      <c r="C29" s="40">
        <f>SUM('25-HARDWARE'!F1)</f>
        <v>0</v>
      </c>
      <c r="D29" s="18">
        <f t="shared" si="2"/>
        <v>0</v>
      </c>
      <c r="E29" s="19">
        <f t="shared" si="0"/>
        <v>0</v>
      </c>
      <c r="F29" s="19">
        <f t="shared" si="4"/>
        <v>0</v>
      </c>
      <c r="G29" s="19">
        <f t="shared" si="1"/>
        <v>0</v>
      </c>
      <c r="H29" s="19">
        <f t="shared" si="3"/>
        <v>0</v>
      </c>
    </row>
    <row r="30" spans="1:8" ht="16" x14ac:dyDescent="0.2">
      <c r="A30" s="49">
        <v>26</v>
      </c>
      <c r="B30" s="39" t="s">
        <v>34</v>
      </c>
      <c r="C30" s="40">
        <f>SUM('26-APPLIED FINISHES, RENDER &amp; T'!F1)</f>
        <v>0</v>
      </c>
      <c r="D30" s="18">
        <f t="shared" si="2"/>
        <v>0</v>
      </c>
      <c r="E30" s="19">
        <f t="shared" si="0"/>
        <v>0</v>
      </c>
      <c r="F30" s="19">
        <f t="shared" si="4"/>
        <v>0</v>
      </c>
      <c r="G30" s="19">
        <f t="shared" si="1"/>
        <v>0</v>
      </c>
      <c r="H30" s="19">
        <f t="shared" si="3"/>
        <v>0</v>
      </c>
    </row>
    <row r="31" spans="1:8" ht="16" x14ac:dyDescent="0.2">
      <c r="A31" s="49">
        <v>27</v>
      </c>
      <c r="B31" s="39" t="s">
        <v>35</v>
      </c>
      <c r="C31" s="40">
        <f>SUM('27-TILING, SLAB AND PAVING'!F1)</f>
        <v>0</v>
      </c>
      <c r="D31" s="18">
        <f t="shared" si="2"/>
        <v>0</v>
      </c>
      <c r="E31" s="19">
        <f t="shared" si="0"/>
        <v>0</v>
      </c>
      <c r="F31" s="19">
        <f t="shared" si="4"/>
        <v>0</v>
      </c>
      <c r="G31" s="19">
        <f t="shared" si="1"/>
        <v>0</v>
      </c>
      <c r="H31" s="19">
        <f t="shared" si="3"/>
        <v>0</v>
      </c>
    </row>
    <row r="32" spans="1:8" ht="16" x14ac:dyDescent="0.2">
      <c r="A32" s="49">
        <v>28</v>
      </c>
      <c r="B32" s="39" t="s">
        <v>36</v>
      </c>
      <c r="C32" s="40">
        <f>SUM('28-CARPET AND RESILIENT FINISHE'!F1)</f>
        <v>0</v>
      </c>
      <c r="D32" s="18">
        <f t="shared" si="2"/>
        <v>0</v>
      </c>
      <c r="E32" s="19">
        <f t="shared" si="0"/>
        <v>0</v>
      </c>
      <c r="F32" s="19">
        <f t="shared" si="4"/>
        <v>0</v>
      </c>
      <c r="G32" s="19">
        <f t="shared" si="1"/>
        <v>0</v>
      </c>
      <c r="H32" s="19">
        <f t="shared" si="3"/>
        <v>0</v>
      </c>
    </row>
    <row r="33" spans="1:8" ht="16" x14ac:dyDescent="0.2">
      <c r="A33" s="49">
        <v>29</v>
      </c>
      <c r="B33" s="39" t="s">
        <v>37</v>
      </c>
      <c r="C33" s="40">
        <f>SUM('29-PAINTING'!F1)</f>
        <v>0</v>
      </c>
      <c r="D33" s="18">
        <f t="shared" si="2"/>
        <v>0</v>
      </c>
      <c r="E33" s="19">
        <f t="shared" si="0"/>
        <v>0</v>
      </c>
      <c r="F33" s="19">
        <f t="shared" si="4"/>
        <v>0</v>
      </c>
      <c r="G33" s="19">
        <f t="shared" si="1"/>
        <v>0</v>
      </c>
      <c r="H33" s="19">
        <f t="shared" si="3"/>
        <v>0</v>
      </c>
    </row>
    <row r="34" spans="1:8" ht="16" x14ac:dyDescent="0.2">
      <c r="A34" s="49">
        <v>30</v>
      </c>
      <c r="B34" s="39" t="s">
        <v>38</v>
      </c>
      <c r="C34" s="40">
        <f>'30-JOINERY'!F1</f>
        <v>0</v>
      </c>
      <c r="D34" s="18">
        <f t="shared" si="2"/>
        <v>0</v>
      </c>
      <c r="E34" s="19">
        <f t="shared" si="0"/>
        <v>0</v>
      </c>
      <c r="F34" s="19">
        <f t="shared" si="4"/>
        <v>0</v>
      </c>
      <c r="G34" s="19">
        <f t="shared" si="1"/>
        <v>0</v>
      </c>
      <c r="H34" s="19">
        <f t="shared" si="3"/>
        <v>0</v>
      </c>
    </row>
    <row r="35" spans="1:8" ht="16" x14ac:dyDescent="0.2">
      <c r="A35" s="49">
        <v>31</v>
      </c>
      <c r="B35" s="39" t="s">
        <v>39</v>
      </c>
      <c r="C35" s="40">
        <f>SUM('31-FURNITURE FITTINGS AND EQUIP'!F1)</f>
        <v>0</v>
      </c>
      <c r="D35" s="18">
        <f t="shared" si="2"/>
        <v>0</v>
      </c>
      <c r="E35" s="19">
        <f t="shared" si="0"/>
        <v>0</v>
      </c>
      <c r="F35" s="19">
        <f t="shared" si="4"/>
        <v>0</v>
      </c>
      <c r="G35" s="19">
        <f t="shared" si="1"/>
        <v>0</v>
      </c>
      <c r="H35" s="19">
        <f t="shared" si="3"/>
        <v>0</v>
      </c>
    </row>
    <row r="36" spans="1:8" ht="16" x14ac:dyDescent="0.2">
      <c r="A36" s="49">
        <v>32</v>
      </c>
      <c r="B36" s="39" t="s">
        <v>40</v>
      </c>
      <c r="C36" s="40">
        <f>SUM('32-HYDRAULICS'!F1)</f>
        <v>0</v>
      </c>
      <c r="D36" s="18">
        <f t="shared" si="2"/>
        <v>0</v>
      </c>
      <c r="E36" s="19">
        <f t="shared" si="0"/>
        <v>0</v>
      </c>
      <c r="F36" s="19">
        <f t="shared" si="4"/>
        <v>0</v>
      </c>
      <c r="G36" s="19">
        <f t="shared" si="1"/>
        <v>0</v>
      </c>
      <c r="H36" s="19">
        <f t="shared" si="3"/>
        <v>0</v>
      </c>
    </row>
    <row r="37" spans="1:8" ht="16" x14ac:dyDescent="0.2">
      <c r="A37" s="49">
        <v>33</v>
      </c>
      <c r="B37" s="39" t="s">
        <v>41</v>
      </c>
      <c r="C37" s="40">
        <f>SUM('33-DRAINAGE'!F1)</f>
        <v>0</v>
      </c>
      <c r="D37" s="18">
        <f t="shared" si="2"/>
        <v>0</v>
      </c>
      <c r="E37" s="19">
        <f t="shared" si="0"/>
        <v>0</v>
      </c>
      <c r="F37" s="19">
        <f t="shared" si="4"/>
        <v>0</v>
      </c>
      <c r="G37" s="19">
        <f t="shared" si="1"/>
        <v>0</v>
      </c>
      <c r="H37" s="19">
        <f t="shared" si="3"/>
        <v>0</v>
      </c>
    </row>
    <row r="38" spans="1:8" ht="16" x14ac:dyDescent="0.2">
      <c r="A38" s="49">
        <v>34</v>
      </c>
      <c r="B38" s="39" t="s">
        <v>42</v>
      </c>
      <c r="C38" s="40">
        <f>SUM('34-ELECTRICAL INSTALLATIONS'!F1)</f>
        <v>0</v>
      </c>
      <c r="D38" s="18">
        <f t="shared" si="2"/>
        <v>0</v>
      </c>
      <c r="E38" s="19">
        <f t="shared" si="0"/>
        <v>0</v>
      </c>
      <c r="F38" s="19">
        <f t="shared" si="4"/>
        <v>0</v>
      </c>
      <c r="G38" s="19">
        <f t="shared" si="1"/>
        <v>0</v>
      </c>
      <c r="H38" s="19">
        <f t="shared" si="3"/>
        <v>0</v>
      </c>
    </row>
    <row r="39" spans="1:8" ht="16" x14ac:dyDescent="0.2">
      <c r="A39" s="49">
        <v>35</v>
      </c>
      <c r="B39" s="39" t="s">
        <v>43</v>
      </c>
      <c r="C39" s="40">
        <f>SUM('35-MECHANICAL INSTALLATIONS'!F1)</f>
        <v>0</v>
      </c>
      <c r="D39" s="18">
        <f t="shared" si="2"/>
        <v>0</v>
      </c>
      <c r="E39" s="19">
        <f t="shared" si="0"/>
        <v>0</v>
      </c>
      <c r="F39" s="19">
        <f t="shared" si="4"/>
        <v>0</v>
      </c>
      <c r="G39" s="19">
        <f t="shared" si="1"/>
        <v>0</v>
      </c>
      <c r="H39" s="19">
        <f t="shared" si="3"/>
        <v>0</v>
      </c>
    </row>
    <row r="40" spans="1:8" ht="16" x14ac:dyDescent="0.2">
      <c r="A40" s="49">
        <v>36</v>
      </c>
      <c r="B40" s="39" t="s">
        <v>44</v>
      </c>
      <c r="C40" s="40">
        <f>SUM('36-TRANSPORTATION SERVICES'!F1)</f>
        <v>0</v>
      </c>
      <c r="D40" s="18">
        <f t="shared" si="2"/>
        <v>0</v>
      </c>
      <c r="E40" s="19">
        <f t="shared" si="0"/>
        <v>0</v>
      </c>
      <c r="F40" s="19">
        <f t="shared" si="4"/>
        <v>0</v>
      </c>
      <c r="G40" s="19">
        <f t="shared" si="1"/>
        <v>0</v>
      </c>
      <c r="H40" s="19">
        <f t="shared" si="3"/>
        <v>0</v>
      </c>
    </row>
    <row r="41" spans="1:8" ht="16" x14ac:dyDescent="0.2">
      <c r="A41" s="49">
        <v>37</v>
      </c>
      <c r="B41" s="45" t="s">
        <v>45</v>
      </c>
      <c r="C41" s="48">
        <f>SUM('37-EXTERIOR ELEMENTS'!F1)</f>
        <v>0</v>
      </c>
      <c r="D41" s="18">
        <f t="shared" si="2"/>
        <v>0</v>
      </c>
      <c r="E41" s="19">
        <f t="shared" si="0"/>
        <v>0</v>
      </c>
      <c r="F41" s="19">
        <f t="shared" si="4"/>
        <v>0</v>
      </c>
      <c r="G41" s="19">
        <f t="shared" si="1"/>
        <v>0</v>
      </c>
      <c r="H41" s="19">
        <f t="shared" si="3"/>
        <v>0</v>
      </c>
    </row>
    <row r="42" spans="1:8" ht="16" x14ac:dyDescent="0.2">
      <c r="A42" s="49">
        <v>38</v>
      </c>
      <c r="B42" s="45" t="s">
        <v>108</v>
      </c>
      <c r="C42" s="48">
        <f>SUM('38-FIRE PROTECTION'!F1)</f>
        <v>0</v>
      </c>
      <c r="D42" s="18">
        <f t="shared" si="2"/>
        <v>0</v>
      </c>
      <c r="E42" s="19">
        <f t="shared" si="0"/>
        <v>0</v>
      </c>
      <c r="F42" s="19">
        <f t="shared" si="4"/>
        <v>0</v>
      </c>
      <c r="G42" s="19">
        <f t="shared" si="1"/>
        <v>0</v>
      </c>
      <c r="H42" s="19">
        <f t="shared" si="3"/>
        <v>0</v>
      </c>
    </row>
    <row r="43" spans="1:8" ht="16" x14ac:dyDescent="0.2">
      <c r="A43" s="49">
        <v>39</v>
      </c>
      <c r="B43" s="45" t="s">
        <v>109</v>
      </c>
      <c r="C43" s="48">
        <f>'39-INCLUDED SUMS'!F1</f>
        <v>0</v>
      </c>
      <c r="D43" s="18">
        <f t="shared" si="2"/>
        <v>0</v>
      </c>
      <c r="E43" s="19">
        <f t="shared" si="0"/>
        <v>0</v>
      </c>
      <c r="F43" s="19">
        <f t="shared" ref="F43" si="5">C43+E43</f>
        <v>0</v>
      </c>
      <c r="G43" s="19">
        <f t="shared" si="1"/>
        <v>0</v>
      </c>
      <c r="H43" s="19">
        <f t="shared" ref="H43" si="6">G43+F43</f>
        <v>0</v>
      </c>
    </row>
    <row r="44" spans="1:8" ht="16" x14ac:dyDescent="0.2">
      <c r="A44" s="50" t="s">
        <v>121</v>
      </c>
      <c r="B44" s="45" t="s">
        <v>126</v>
      </c>
      <c r="C44" s="48">
        <f>'40-SIGNAGE'!F1</f>
        <v>0</v>
      </c>
      <c r="D44" s="18">
        <f t="shared" si="2"/>
        <v>0</v>
      </c>
      <c r="E44" s="19">
        <f t="shared" si="0"/>
        <v>0</v>
      </c>
      <c r="F44" s="19">
        <f t="shared" ref="F44" si="7">C44+E44</f>
        <v>0</v>
      </c>
      <c r="G44" s="19">
        <f t="shared" si="1"/>
        <v>0</v>
      </c>
      <c r="H44" s="19">
        <f t="shared" ref="H44" si="8">G44+F44</f>
        <v>0</v>
      </c>
    </row>
    <row r="45" spans="1:8" ht="16" x14ac:dyDescent="0.2">
      <c r="A45" s="50" t="s">
        <v>122</v>
      </c>
      <c r="B45" s="45" t="s">
        <v>125</v>
      </c>
      <c r="C45" s="48">
        <f>'41-PEST CONTROL'!F1</f>
        <v>0</v>
      </c>
      <c r="D45" s="18">
        <f t="shared" si="2"/>
        <v>0</v>
      </c>
      <c r="E45" s="19">
        <f t="shared" si="0"/>
        <v>0</v>
      </c>
      <c r="F45" s="19">
        <f t="shared" ref="F45" si="9">C45+E45</f>
        <v>0</v>
      </c>
      <c r="G45" s="19">
        <f t="shared" si="1"/>
        <v>0</v>
      </c>
      <c r="H45" s="19">
        <f t="shared" ref="H45" si="10">G45+F45</f>
        <v>0</v>
      </c>
    </row>
    <row r="46" spans="1:8" ht="16" x14ac:dyDescent="0.2">
      <c r="A46" s="50" t="s">
        <v>123</v>
      </c>
      <c r="B46" s="45" t="s">
        <v>110</v>
      </c>
      <c r="C46" s="48">
        <f>'42-WORKS BY NOMINATED SUBCONTRA'!F1</f>
        <v>0</v>
      </c>
      <c r="D46" s="18">
        <f t="shared" si="2"/>
        <v>0</v>
      </c>
      <c r="E46" s="19">
        <f t="shared" si="0"/>
        <v>0</v>
      </c>
      <c r="F46" s="19">
        <f t="shared" si="4"/>
        <v>0</v>
      </c>
      <c r="G46" s="19">
        <f t="shared" si="1"/>
        <v>0</v>
      </c>
      <c r="H46" s="19">
        <f t="shared" si="3"/>
        <v>0</v>
      </c>
    </row>
    <row r="47" spans="1:8" ht="16" x14ac:dyDescent="0.2">
      <c r="A47" s="50" t="s">
        <v>124</v>
      </c>
      <c r="B47" s="45" t="s">
        <v>107</v>
      </c>
      <c r="C47" s="48">
        <f>'43-NOT INCLUDED ELSEWHERE'!F1</f>
        <v>0</v>
      </c>
      <c r="D47" s="18">
        <f t="shared" si="2"/>
        <v>0</v>
      </c>
      <c r="E47" s="19">
        <f t="shared" si="0"/>
        <v>0</v>
      </c>
      <c r="F47" s="19">
        <f t="shared" ref="F47" si="11">C47+E47</f>
        <v>0</v>
      </c>
      <c r="G47" s="19">
        <f t="shared" si="1"/>
        <v>0</v>
      </c>
      <c r="H47" s="19">
        <f t="shared" ref="H47" si="12">G47+F47</f>
        <v>0</v>
      </c>
    </row>
    <row r="48" spans="1:8" x14ac:dyDescent="0.15">
      <c r="A48" s="8"/>
      <c r="B48" s="6"/>
      <c r="C48" s="9"/>
    </row>
    <row r="49" spans="1:8" ht="16" x14ac:dyDescent="0.2">
      <c r="A49" s="33">
        <v>42</v>
      </c>
      <c r="B49" s="34" t="s">
        <v>91</v>
      </c>
      <c r="C49" s="41">
        <f>SUM(C4:C47)</f>
        <v>0</v>
      </c>
      <c r="D49" s="35">
        <f>SUM(D4:D47)</f>
        <v>0</v>
      </c>
      <c r="E49" s="42">
        <f>SUM(E4:E47)</f>
        <v>0</v>
      </c>
      <c r="F49" s="42">
        <f>SUM(F4:F47)</f>
        <v>0</v>
      </c>
      <c r="G49" s="42">
        <f>SUM(G4:G47)</f>
        <v>0</v>
      </c>
      <c r="H49" s="42">
        <f>SUM(H4:H47)</f>
        <v>0</v>
      </c>
    </row>
    <row r="51" spans="1:8" ht="16" x14ac:dyDescent="0.2">
      <c r="A51" s="21">
        <v>43</v>
      </c>
      <c r="B51" s="22" t="s">
        <v>92</v>
      </c>
      <c r="C51" s="20">
        <f>C$49*D51</f>
        <v>0</v>
      </c>
      <c r="D51" s="24">
        <v>0.12</v>
      </c>
    </row>
    <row r="52" spans="1:8" ht="16" x14ac:dyDescent="0.2">
      <c r="A52" s="21">
        <v>44</v>
      </c>
      <c r="B52" s="22" t="s">
        <v>93</v>
      </c>
      <c r="C52" s="20">
        <f>C$49*D52</f>
        <v>0</v>
      </c>
      <c r="D52" s="24">
        <v>0.06</v>
      </c>
    </row>
    <row r="53" spans="1:8" ht="16" x14ac:dyDescent="0.2">
      <c r="A53" s="21">
        <v>45</v>
      </c>
      <c r="B53" s="22" t="s">
        <v>94</v>
      </c>
      <c r="C53" s="20">
        <f>C$49*D53</f>
        <v>0</v>
      </c>
      <c r="D53" s="24">
        <v>0.05</v>
      </c>
    </row>
    <row r="54" spans="1:8" ht="16" x14ac:dyDescent="0.2">
      <c r="A54" s="21">
        <v>46</v>
      </c>
      <c r="B54" s="22" t="s">
        <v>95</v>
      </c>
      <c r="C54" s="20">
        <f>C$49*D54</f>
        <v>0</v>
      </c>
      <c r="D54" s="24">
        <v>5.0000000000000001E-3</v>
      </c>
    </row>
    <row r="55" spans="1:8" ht="16" x14ac:dyDescent="0.2">
      <c r="A55" s="21"/>
      <c r="B55" s="25" t="s">
        <v>104</v>
      </c>
      <c r="C55" s="20">
        <f>SUM(C51:C54)</f>
        <v>0</v>
      </c>
    </row>
    <row r="56" spans="1:8" x14ac:dyDescent="0.15">
      <c r="A56" s="21"/>
      <c r="B56" s="22"/>
      <c r="C56" s="23"/>
    </row>
    <row r="57" spans="1:8" ht="16" x14ac:dyDescent="0.2">
      <c r="A57" s="21">
        <v>47</v>
      </c>
      <c r="B57" s="26" t="s">
        <v>98</v>
      </c>
      <c r="C57" s="27">
        <f>C55+C49</f>
        <v>0</v>
      </c>
    </row>
    <row r="58" spans="1:8" ht="16" x14ac:dyDescent="0.2">
      <c r="A58" s="21">
        <v>48</v>
      </c>
      <c r="B58" s="28" t="s">
        <v>89</v>
      </c>
      <c r="C58" s="27">
        <f>C57*D58</f>
        <v>0</v>
      </c>
      <c r="D58" s="29">
        <v>0.1</v>
      </c>
      <c r="H58" s="30"/>
    </row>
    <row r="59" spans="1:8" ht="16" x14ac:dyDescent="0.2">
      <c r="A59" s="31">
        <v>49</v>
      </c>
      <c r="B59" s="32" t="s">
        <v>96</v>
      </c>
      <c r="C59" s="27">
        <f>C58+C57</f>
        <v>0</v>
      </c>
      <c r="H59" s="30"/>
    </row>
    <row r="60" spans="1:8" ht="16" x14ac:dyDescent="0.2">
      <c r="A60" s="21">
        <v>50</v>
      </c>
      <c r="B60" s="32" t="s">
        <v>105</v>
      </c>
      <c r="C60" s="27">
        <f>C59/D60</f>
        <v>0</v>
      </c>
      <c r="D60" s="46">
        <v>1</v>
      </c>
      <c r="E60" s="47" t="s">
        <v>106</v>
      </c>
    </row>
    <row r="64" spans="1:8" ht="16" x14ac:dyDescent="0.2">
      <c r="B64" s="43" t="s">
        <v>99</v>
      </c>
    </row>
    <row r="65" spans="2:2" ht="16" x14ac:dyDescent="0.2">
      <c r="B65" s="37" t="s">
        <v>100</v>
      </c>
    </row>
    <row r="66" spans="2:2" x14ac:dyDescent="0.15">
      <c r="B66" s="44" t="s">
        <v>101</v>
      </c>
    </row>
    <row r="67" spans="2:2" x14ac:dyDescent="0.15">
      <c r="B67" s="45" t="s">
        <v>102</v>
      </c>
    </row>
  </sheetData>
  <mergeCells count="1">
    <mergeCell ref="A1:C1"/>
  </mergeCells>
  <hyperlinks>
    <hyperlink ref="B4" location="'0-DISCLAIMER'!A1" display="DISCLAIMER" xr:uid="{A97E10A3-3B09-D94D-8877-7DB1900EE9F8}"/>
    <hyperlink ref="B6" location="'2-PRELIMINARIES'!A1" display="PRELIMINARIES" xr:uid="{FA193AE5-E967-BC43-B608-66046EF9BE69}"/>
    <hyperlink ref="B7" location="'3-DEMOLITION'!A1" display="DEMOLITION" xr:uid="{389FEEFE-6C2C-D440-B810-A7D39D554994}"/>
    <hyperlink ref="B8" location="'4-GROUNDWORKS'!A1" display="GROUNDWORKS" xr:uid="{E43CF5FF-ECB1-F84D-AEB0-1E1D1FB285CB}"/>
    <hyperlink ref="B9" location="'5-PILING'!A1" display="PILING" xr:uid="{1F80BDA8-24D8-554E-BF9F-6BE499B544C2}"/>
    <hyperlink ref="B10" location="'6-CONCRETE'!A1" display="CONCRETE" xr:uid="{4156398F-FB9C-714B-B3CE-DA9F64737F0E}"/>
    <hyperlink ref="B11" location="'7-FORMWORK'!A1" display="FORMWORK" xr:uid="{2CD3AB9F-D9C2-D04E-AF17-255FB3865791}"/>
    <hyperlink ref="B12" location="'8-REINFORCEMENT'!A1" display="REINFORCEMENT" xr:uid="{5E3C631B-3FE9-2148-A51D-AC248FC00C3A}"/>
    <hyperlink ref="B13" location="'8-REINFORCEMENT'!A1" display="PRESTRESSING" xr:uid="{B7278C48-D935-8146-A709-535F5934A6B5}"/>
    <hyperlink ref="B14" location="'10-PRECAST CONCRETE'!A1" display="PRECAST CONCRETE" xr:uid="{1F724ADA-6E4A-F24B-BBE3-53C918909ADC}"/>
    <hyperlink ref="B15" location="'11-TANKING AND WATERPROOF MEMBR'!A1" display="TANKING AND WATERPROOF MEMBRANES" xr:uid="{FCE3D2EB-9B55-E846-896B-C27B2E363AD2}"/>
    <hyperlink ref="B16" location="'12-MASONRY'!A1" display="MASONRY" xr:uid="{7415E772-9F77-9749-A5D0-66A75B59851F}"/>
    <hyperlink ref="B17" location="'13-STONEWORK'!A1" display="STONEWORK" xr:uid="{88296832-49A6-9145-AA64-61309A54B25D}"/>
    <hyperlink ref="B18" location="'14-STRUCTURAL STEEL'!A1" display="STRUCTURAL STEEL" xr:uid="{498535BF-2840-7B48-89C7-656A9DE65421}"/>
    <hyperlink ref="B19" location="'15-METALWORK'!A1" display="METALWORK" xr:uid="{6DF84E59-0A3A-3B40-8186-976101FC7E0C}"/>
    <hyperlink ref="B20" location="'16-ROOFING'!A1" display="ROOFING" xr:uid="{E3F2539F-F3BA-EE47-BD49-308A9F57AC7F}"/>
    <hyperlink ref="B21" location="'17-FAÇADE SYSTEMS'!A1" display="FAÇADE SYSTEMS" xr:uid="{0639C927-09EE-144F-A40E-E57B55CA91B8}"/>
    <hyperlink ref="B22" location="'18-WINDOWS'!A1" display="WINDOWS" xr:uid="{A0C13D6C-5A4E-0B46-94F4-FB78AC5C3470}"/>
    <hyperlink ref="B23" location="'19-GLAZING'!A1" display="GLAZING" xr:uid="{55FF2BDF-CD09-3741-B71E-1CE48B1A1373}"/>
    <hyperlink ref="B24" location="'20-CARPENTRY'!A1" display="CARPENTRY" xr:uid="{388143EC-361E-ED4E-8375-DD134CAE828E}"/>
    <hyperlink ref="B25" location="'21-PARTITIONS'!A1" display="PARTITIONS" xr:uid="{C7CE9F74-30BF-414A-BDAB-AEA14A122D3C}"/>
    <hyperlink ref="B26" location="'22-SUSPENDED CEILINGS'!A1" display="SUSPENDED CEILINGS" xr:uid="{A738B8A6-2496-014B-8597-D90EF98681B4}"/>
    <hyperlink ref="B27" location="'23-ACCESS FLOORS'!A1" display="ACCESS FLOORS" xr:uid="{19E85BDA-F9E9-CF48-B90F-C91A3778CBAC}"/>
    <hyperlink ref="B28" location="'24-DOORS'!A1" display="DOORS" xr:uid="{606CC2C4-5217-A148-9C3D-06632C37AB53}"/>
    <hyperlink ref="B29" location="'25-HARDWARE'!A1" display="HARDWARE" xr:uid="{A30A9862-3E49-744C-B2EF-D0290A7C6FB7}"/>
    <hyperlink ref="B30" location="'26-APPLIED FINISHES, RENDER &amp; T'!A1" display="APPLIED FINISHES, RENDER &amp; TEXTURED FINISHES" xr:uid="{9BB5F042-25BA-4B48-B9D3-1058F162F3AE}"/>
    <hyperlink ref="B31" location="'27-TILING, SLAB AND PAVING'!A1" display="TILING, SLAB AND PAVING" xr:uid="{32090764-E5AE-D842-84DA-E63E9BF43614}"/>
    <hyperlink ref="B32" location="'28-CARPET AND RESILIENT FINISHE'!A1" display="CARPET AND RESILIENT FINISHES" xr:uid="{5E44C5CD-290C-4246-B3C8-07BC8BD8EFFF}"/>
    <hyperlink ref="B33" location="'29-PAINTING'!A1" display="PAINTING" xr:uid="{DA27E816-8A8F-D84D-95B8-4A01ADB8AF40}"/>
    <hyperlink ref="B34" location="'30-JOINERY'!A1" display="JOINERY" xr:uid="{92DB902B-D9E2-2B41-96C7-864B2463D247}"/>
    <hyperlink ref="B35" location="'31-FURNITURE FITTINGS AND EQUIP'!A1" display="FURNITURE FITTINGS AND EQUIPMENT" xr:uid="{B7FF72BF-A422-2B44-BDB5-93AB2E5A59CC}"/>
    <hyperlink ref="B36" location="'32-HYDRAULICS'!A1" display="HYDRAULICS" xr:uid="{A92380DC-6F1D-FC46-8DC9-19F404B1F47C}"/>
    <hyperlink ref="B37" location="'33-DRAINAGE'!A1" display="DRAINAGE" xr:uid="{B020D651-EAF5-E94A-8AA2-066C6F4CD5D8}"/>
    <hyperlink ref="B38" location="'34-ELECTRICAL INSTALLATIONS'!A1" display="ELECTRICAL INSTALLATIONS" xr:uid="{CA61EBFC-CFB7-3945-A729-1FD3ADE4AF7E}"/>
    <hyperlink ref="B39" location="'35-MECHANICAL INSTALLATIONS'!A1" display="MECHANICAL INSTALLATIONS" xr:uid="{56037C86-2485-5B4A-A821-DC7405107582}"/>
    <hyperlink ref="B40" location="'36-TRANSPORTATION SERVICES'!A1" display="TRANSPORTATION SERVICES" xr:uid="{804344FC-0891-2A4E-BFA4-CC68064D75F3}"/>
    <hyperlink ref="B41" location="'37-EXTERIOR ELEMENTS'!A1" display="EXTERIOR ELEMENTS" xr:uid="{4E52752D-A61C-E545-8338-58DC90CD246F}"/>
    <hyperlink ref="B42" location="'38-FIRE PROTECTION'!A1" display="FIRE PROTECTION" xr:uid="{AA0432D1-378E-CF4B-9D5A-0307C121BF6F}"/>
    <hyperlink ref="B47" location="'41-NOT INCLUDED ELSEWHERE'!A1" display="NOT INCLUDED ELSEWHERE" xr:uid="{DDB577AC-B22C-9346-B35F-3B59B7BF0E82}"/>
    <hyperlink ref="B43" location="'39-INCLUDED SUMS'!A1" display="INCLUDED SUMS" xr:uid="{2F7970EF-0511-5D47-959F-D67C02DF4072}"/>
    <hyperlink ref="B46" location="'40-WORKS BY NOMINATED SUBCONTRA'!A1" display="WORKS BY NOMINATED SUBCONTRACTORS" xr:uid="{835F1081-06BA-6B46-8BEF-C2DF8DE4D6B9}"/>
    <hyperlink ref="B5" location="'1-GENERAL'!A1" display="GENERAL" xr:uid="{E3297798-1528-2148-ACF6-7A87773AC50D}"/>
    <hyperlink ref="B44" location="'39-INCLUDED SUMS'!A1" display="INCLUDED SUMS" xr:uid="{657BEA70-0543-7348-84BA-014D22CA8FC8}"/>
    <hyperlink ref="B45" location="'39-INCLUDED SUMS'!A1" display="INCLUDED SUMS" xr:uid="{D9D1F9DB-7468-BE49-B7FB-8FC8D72BB021}"/>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FD48D-B06C-C640-9400-CB4DE7999A1C}">
  <dimension ref="A1:F145"/>
  <sheetViews>
    <sheetView workbookViewId="0">
      <selection activeCell="F3" sqref="F3"/>
    </sheetView>
  </sheetViews>
  <sheetFormatPr baseColWidth="10" defaultColWidth="9.1640625" defaultRowHeight="13" x14ac:dyDescent="0.15"/>
  <cols>
    <col min="1" max="1" width="6.6640625" customWidth="1"/>
    <col min="2" max="2" width="62.6640625" style="10" customWidth="1"/>
    <col min="3" max="6" width="9.6640625" customWidth="1"/>
  </cols>
  <sheetData>
    <row r="1" spans="1:6" ht="16" x14ac:dyDescent="0.2">
      <c r="A1" s="51" t="s">
        <v>111</v>
      </c>
      <c r="B1" s="52"/>
      <c r="C1" s="52"/>
      <c r="E1" s="36" t="s">
        <v>97</v>
      </c>
      <c r="F1" s="37">
        <f>SUM(F2:F1000)/2</f>
        <v>0</v>
      </c>
    </row>
    <row r="2" spans="1:6" ht="14" x14ac:dyDescent="0.15">
      <c r="A2" s="1" t="s">
        <v>0</v>
      </c>
      <c r="B2" s="11" t="s">
        <v>1</v>
      </c>
      <c r="C2" s="2" t="s">
        <v>4</v>
      </c>
      <c r="D2" s="2" t="s">
        <v>5</v>
      </c>
      <c r="E2" s="2" t="s">
        <v>6</v>
      </c>
      <c r="F2" s="2" t="s">
        <v>2</v>
      </c>
    </row>
    <row r="3" spans="1:6" ht="14" x14ac:dyDescent="0.15">
      <c r="A3" s="14"/>
      <c r="B3" s="13" t="s">
        <v>112</v>
      </c>
      <c r="C3" s="14">
        <v>0</v>
      </c>
      <c r="D3" s="14"/>
    </row>
    <row r="4" spans="1:6" ht="70" x14ac:dyDescent="0.15">
      <c r="B4" s="10" t="s">
        <v>113</v>
      </c>
      <c r="F4" s="9"/>
    </row>
    <row r="5" spans="1:6" ht="42" x14ac:dyDescent="0.15">
      <c r="B5" s="10" t="s">
        <v>114</v>
      </c>
    </row>
    <row r="6" spans="1:6" ht="56" x14ac:dyDescent="0.15">
      <c r="B6" s="12" t="s">
        <v>115</v>
      </c>
    </row>
    <row r="7" spans="1:6" ht="14" x14ac:dyDescent="0.15">
      <c r="B7" s="12" t="s">
        <v>116</v>
      </c>
    </row>
    <row r="8" spans="1:6" ht="14" x14ac:dyDescent="0.15">
      <c r="B8" s="12" t="s">
        <v>117</v>
      </c>
    </row>
    <row r="9" spans="1:6" ht="14" x14ac:dyDescent="0.15">
      <c r="B9" s="12" t="s">
        <v>118</v>
      </c>
    </row>
    <row r="10" spans="1:6" ht="14" x14ac:dyDescent="0.15">
      <c r="B10" s="10" t="s">
        <v>119</v>
      </c>
    </row>
    <row r="11" spans="1:6" ht="42" x14ac:dyDescent="0.15">
      <c r="A11" s="14"/>
      <c r="B11" s="13" t="s">
        <v>120</v>
      </c>
      <c r="C11" s="14"/>
      <c r="D11" s="14"/>
    </row>
    <row r="14" spans="1:6" x14ac:dyDescent="0.15">
      <c r="B14" s="13"/>
      <c r="C14" s="14"/>
      <c r="D14" s="14"/>
    </row>
    <row r="15" spans="1:6" x14ac:dyDescent="0.15">
      <c r="B15" s="12"/>
    </row>
    <row r="16" spans="1:6" x14ac:dyDescent="0.15">
      <c r="B16" s="12"/>
    </row>
    <row r="17" spans="2:4" x14ac:dyDescent="0.15">
      <c r="B17" s="12"/>
    </row>
    <row r="19" spans="2:4" x14ac:dyDescent="0.15">
      <c r="B19" s="12"/>
    </row>
    <row r="20" spans="2:4" x14ac:dyDescent="0.15">
      <c r="B20" s="12"/>
    </row>
    <row r="21" spans="2:4" x14ac:dyDescent="0.15">
      <c r="B21" s="12"/>
    </row>
    <row r="22" spans="2:4" x14ac:dyDescent="0.15">
      <c r="B22" s="12"/>
    </row>
    <row r="25" spans="2:4" x14ac:dyDescent="0.15">
      <c r="B25" s="13"/>
      <c r="C25" s="14"/>
      <c r="D25" s="14"/>
    </row>
    <row r="26" spans="2:4" x14ac:dyDescent="0.15">
      <c r="B26" s="12"/>
    </row>
    <row r="27" spans="2:4" x14ac:dyDescent="0.15">
      <c r="B27" s="12"/>
    </row>
    <row r="28" spans="2:4" x14ac:dyDescent="0.15">
      <c r="B28" s="12"/>
    </row>
    <row r="30" spans="2:4" x14ac:dyDescent="0.15">
      <c r="B30" s="12"/>
    </row>
    <row r="31" spans="2:4" x14ac:dyDescent="0.15">
      <c r="B31" s="12"/>
    </row>
    <row r="32" spans="2:4" x14ac:dyDescent="0.15">
      <c r="B32" s="12"/>
    </row>
    <row r="33" spans="1:4" x14ac:dyDescent="0.15">
      <c r="B33" s="12"/>
    </row>
    <row r="36" spans="1:4" x14ac:dyDescent="0.15">
      <c r="A36" s="14"/>
      <c r="B36" s="13"/>
      <c r="C36" s="14"/>
      <c r="D36" s="14"/>
    </row>
    <row r="37" spans="1:4" x14ac:dyDescent="0.15">
      <c r="B37" s="12"/>
    </row>
    <row r="38" spans="1:4" x14ac:dyDescent="0.15">
      <c r="B38" s="12"/>
    </row>
    <row r="39" spans="1:4" x14ac:dyDescent="0.15">
      <c r="B39" s="12"/>
    </row>
    <row r="41" spans="1:4" x14ac:dyDescent="0.15">
      <c r="B41" s="12"/>
    </row>
    <row r="42" spans="1:4" x14ac:dyDescent="0.15">
      <c r="B42" s="12"/>
    </row>
    <row r="43" spans="1:4" x14ac:dyDescent="0.15">
      <c r="B43" s="12"/>
    </row>
    <row r="44" spans="1:4" x14ac:dyDescent="0.15">
      <c r="B44" s="12"/>
    </row>
    <row r="47" spans="1:4" x14ac:dyDescent="0.15">
      <c r="A47" s="14"/>
      <c r="B47" s="13"/>
      <c r="C47" s="14"/>
      <c r="D47" s="14"/>
    </row>
    <row r="48" spans="1:4" x14ac:dyDescent="0.15">
      <c r="B48" s="12"/>
    </row>
    <row r="49" spans="1:4" x14ac:dyDescent="0.15">
      <c r="B49" s="12"/>
    </row>
    <row r="50" spans="1:4" x14ac:dyDescent="0.15">
      <c r="B50" s="12"/>
    </row>
    <row r="52" spans="1:4" x14ac:dyDescent="0.15">
      <c r="B52" s="12"/>
    </row>
    <row r="53" spans="1:4" x14ac:dyDescent="0.15">
      <c r="B53" s="12"/>
    </row>
    <row r="54" spans="1:4" x14ac:dyDescent="0.15">
      <c r="B54" s="12"/>
    </row>
    <row r="55" spans="1:4" x14ac:dyDescent="0.15">
      <c r="B55" s="12"/>
    </row>
    <row r="59" spans="1:4" x14ac:dyDescent="0.15">
      <c r="A59" s="14"/>
      <c r="B59" s="13"/>
      <c r="C59" s="14"/>
      <c r="D59" s="14"/>
    </row>
    <row r="60" spans="1:4" x14ac:dyDescent="0.15">
      <c r="B60" s="12"/>
    </row>
    <row r="61" spans="1:4" x14ac:dyDescent="0.15">
      <c r="B61" s="12"/>
    </row>
    <row r="62" spans="1:4" x14ac:dyDescent="0.15">
      <c r="B62" s="12"/>
    </row>
    <row r="64" spans="1:4" x14ac:dyDescent="0.15">
      <c r="B64" s="12"/>
    </row>
    <row r="65" spans="1:4" x14ac:dyDescent="0.15">
      <c r="B65" s="12"/>
    </row>
    <row r="66" spans="1:4" x14ac:dyDescent="0.15">
      <c r="B66" s="12"/>
    </row>
    <row r="67" spans="1:4" x14ac:dyDescent="0.15">
      <c r="B67" s="12"/>
    </row>
    <row r="71" spans="1:4" x14ac:dyDescent="0.15">
      <c r="A71" s="14"/>
      <c r="B71" s="13"/>
      <c r="C71" s="14"/>
      <c r="D71" s="14"/>
    </row>
    <row r="72" spans="1:4" x14ac:dyDescent="0.15">
      <c r="B72" s="12"/>
    </row>
    <row r="73" spans="1:4" x14ac:dyDescent="0.15">
      <c r="B73" s="12"/>
    </row>
    <row r="74" spans="1:4" x14ac:dyDescent="0.15">
      <c r="B74" s="12"/>
    </row>
    <row r="76" spans="1:4" x14ac:dyDescent="0.15">
      <c r="B76" s="12"/>
    </row>
    <row r="77" spans="1:4" x14ac:dyDescent="0.15">
      <c r="B77" s="12"/>
    </row>
    <row r="78" spans="1:4" x14ac:dyDescent="0.15">
      <c r="B78" s="12"/>
    </row>
    <row r="79" spans="1:4" x14ac:dyDescent="0.15">
      <c r="B79" s="12"/>
    </row>
    <row r="82" spans="1:4" x14ac:dyDescent="0.15">
      <c r="A82" s="14"/>
      <c r="B82" s="13"/>
      <c r="C82" s="14"/>
      <c r="D82" s="14"/>
    </row>
    <row r="83" spans="1:4" x14ac:dyDescent="0.15">
      <c r="B83" s="12"/>
    </row>
    <row r="84" spans="1:4" x14ac:dyDescent="0.15">
      <c r="B84" s="12"/>
    </row>
    <row r="85" spans="1:4" x14ac:dyDescent="0.15">
      <c r="B85" s="12"/>
    </row>
    <row r="87" spans="1:4" x14ac:dyDescent="0.15">
      <c r="B87" s="12"/>
    </row>
    <row r="88" spans="1:4" x14ac:dyDescent="0.15">
      <c r="B88" s="12"/>
    </row>
    <row r="89" spans="1:4" x14ac:dyDescent="0.15">
      <c r="B89" s="12"/>
    </row>
    <row r="90" spans="1:4" x14ac:dyDescent="0.15">
      <c r="B90" s="12"/>
    </row>
    <row r="94" spans="1:4" x14ac:dyDescent="0.15">
      <c r="A94" s="14"/>
      <c r="B94" s="13"/>
      <c r="C94" s="14"/>
      <c r="D94" s="14"/>
    </row>
    <row r="95" spans="1:4" x14ac:dyDescent="0.15">
      <c r="B95" s="12"/>
    </row>
    <row r="96" spans="1:4" x14ac:dyDescent="0.15">
      <c r="B96" s="12"/>
    </row>
    <row r="97" spans="1:4" x14ac:dyDescent="0.15">
      <c r="B97" s="12"/>
    </row>
    <row r="99" spans="1:4" x14ac:dyDescent="0.15">
      <c r="B99" s="12"/>
    </row>
    <row r="100" spans="1:4" x14ac:dyDescent="0.15">
      <c r="B100" s="12"/>
    </row>
    <row r="101" spans="1:4" x14ac:dyDescent="0.15">
      <c r="B101" s="12"/>
    </row>
    <row r="102" spans="1:4" x14ac:dyDescent="0.15">
      <c r="B102" s="12"/>
    </row>
    <row r="105" spans="1:4" x14ac:dyDescent="0.15">
      <c r="A105" s="14"/>
      <c r="B105" s="13"/>
      <c r="C105" s="14"/>
      <c r="D105" s="14"/>
    </row>
    <row r="106" spans="1:4" x14ac:dyDescent="0.15">
      <c r="B106" s="12"/>
    </row>
    <row r="107" spans="1:4" x14ac:dyDescent="0.15">
      <c r="B107" s="12"/>
    </row>
    <row r="108" spans="1:4" x14ac:dyDescent="0.15">
      <c r="B108" s="12"/>
    </row>
    <row r="110" spans="1:4" x14ac:dyDescent="0.15">
      <c r="B110" s="12"/>
    </row>
    <row r="111" spans="1:4" x14ac:dyDescent="0.15">
      <c r="B111" s="12"/>
    </row>
    <row r="112" spans="1:4" x14ac:dyDescent="0.15">
      <c r="B112" s="12"/>
    </row>
    <row r="113" spans="1:4" x14ac:dyDescent="0.15">
      <c r="B113" s="12"/>
    </row>
    <row r="116" spans="1:4" x14ac:dyDescent="0.15">
      <c r="A116" s="14"/>
      <c r="B116" s="13"/>
      <c r="C116" s="14"/>
      <c r="D116" s="14"/>
    </row>
    <row r="117" spans="1:4" x14ac:dyDescent="0.15">
      <c r="B117" s="12"/>
    </row>
    <row r="118" spans="1:4" x14ac:dyDescent="0.15">
      <c r="B118" s="12"/>
    </row>
    <row r="119" spans="1:4" x14ac:dyDescent="0.15">
      <c r="B119" s="12"/>
    </row>
    <row r="121" spans="1:4" x14ac:dyDescent="0.15">
      <c r="B121" s="12"/>
    </row>
    <row r="122" spans="1:4" x14ac:dyDescent="0.15">
      <c r="B122" s="12"/>
    </row>
    <row r="123" spans="1:4" x14ac:dyDescent="0.15">
      <c r="B123" s="12"/>
    </row>
    <row r="124" spans="1:4" x14ac:dyDescent="0.15">
      <c r="B124" s="12"/>
    </row>
    <row r="127" spans="1:4" x14ac:dyDescent="0.15">
      <c r="A127" s="14"/>
      <c r="B127" s="13"/>
      <c r="C127" s="14"/>
      <c r="D127" s="14"/>
    </row>
    <row r="137" spans="1:4" x14ac:dyDescent="0.15">
      <c r="A137" s="14"/>
      <c r="B137" s="13"/>
      <c r="C137" s="14"/>
      <c r="D137" s="14"/>
    </row>
    <row r="144" spans="1:4" x14ac:dyDescent="0.15">
      <c r="A144" s="14"/>
      <c r="B144" s="13"/>
      <c r="C144" s="14"/>
      <c r="D144" s="14"/>
    </row>
    <row r="145" spans="2:2" x14ac:dyDescent="0.15">
      <c r="B145" s="12"/>
    </row>
  </sheetData>
  <mergeCells count="1">
    <mergeCell ref="A1:C1"/>
  </mergeCells>
  <hyperlinks>
    <hyperlink ref="E1" location="Summary!A1" display="HOME" xr:uid="{1C4C6303-CBAF-C44A-8A89-BE4334FF4B6A}"/>
  </hyperlinks>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5"/>
  <sheetViews>
    <sheetView workbookViewId="0">
      <selection activeCell="E1" sqref="E1"/>
    </sheetView>
  </sheetViews>
  <sheetFormatPr baseColWidth="10" defaultColWidth="9.1640625" defaultRowHeight="13" x14ac:dyDescent="0.15"/>
  <cols>
    <col min="1" max="1" width="6.6640625" customWidth="1"/>
    <col min="2" max="2" width="62.6640625" style="10" customWidth="1"/>
    <col min="3" max="6" width="9.6640625" customWidth="1"/>
  </cols>
  <sheetData>
    <row r="1" spans="1:6" ht="16" x14ac:dyDescent="0.2">
      <c r="A1" s="51" t="s">
        <v>3</v>
      </c>
      <c r="B1" s="52"/>
      <c r="C1" s="52"/>
      <c r="E1" s="36" t="s">
        <v>97</v>
      </c>
      <c r="F1" s="37">
        <f>SUM(F2:F1000)/2</f>
        <v>0</v>
      </c>
    </row>
    <row r="2" spans="1:6" ht="14" x14ac:dyDescent="0.15">
      <c r="A2" s="1" t="s">
        <v>0</v>
      </c>
      <c r="B2" s="11" t="s">
        <v>1</v>
      </c>
      <c r="C2" s="2" t="s">
        <v>4</v>
      </c>
      <c r="D2" s="2" t="s">
        <v>5</v>
      </c>
      <c r="E2" s="2" t="s">
        <v>6</v>
      </c>
      <c r="F2" s="2" t="s">
        <v>2</v>
      </c>
    </row>
    <row r="3" spans="1:6" ht="14" x14ac:dyDescent="0.15">
      <c r="A3" s="14"/>
      <c r="B3" s="13" t="s">
        <v>3</v>
      </c>
      <c r="C3" s="14">
        <v>1</v>
      </c>
      <c r="D3" s="14" t="s">
        <v>46</v>
      </c>
    </row>
    <row r="4" spans="1:6" ht="42" x14ac:dyDescent="0.15">
      <c r="B4" s="10" t="s">
        <v>47</v>
      </c>
      <c r="C4">
        <v>1</v>
      </c>
      <c r="D4" t="s">
        <v>48</v>
      </c>
      <c r="F4" s="9"/>
    </row>
    <row r="5" spans="1:6" ht="28" x14ac:dyDescent="0.15">
      <c r="B5" s="10" t="s">
        <v>50</v>
      </c>
      <c r="C5">
        <v>1</v>
      </c>
      <c r="D5" t="s">
        <v>48</v>
      </c>
    </row>
    <row r="6" spans="1:6" ht="14" x14ac:dyDescent="0.15">
      <c r="B6" s="12" t="s">
        <v>61</v>
      </c>
      <c r="C6">
        <v>1</v>
      </c>
      <c r="D6" t="s">
        <v>48</v>
      </c>
    </row>
    <row r="7" spans="1:6" ht="14" x14ac:dyDescent="0.15">
      <c r="B7" s="12" t="s">
        <v>83</v>
      </c>
      <c r="C7">
        <v>1</v>
      </c>
      <c r="D7" t="s">
        <v>48</v>
      </c>
    </row>
    <row r="8" spans="1:6" ht="28" x14ac:dyDescent="0.15">
      <c r="B8" s="12" t="s">
        <v>84</v>
      </c>
      <c r="C8">
        <v>1</v>
      </c>
      <c r="D8" t="s">
        <v>48</v>
      </c>
    </row>
    <row r="9" spans="1:6" ht="42" x14ac:dyDescent="0.15">
      <c r="B9" s="12" t="s">
        <v>85</v>
      </c>
      <c r="C9">
        <v>1</v>
      </c>
      <c r="D9" t="s">
        <v>48</v>
      </c>
    </row>
    <row r="11" spans="1:6" ht="14" x14ac:dyDescent="0.15">
      <c r="A11" s="14"/>
      <c r="B11" s="13" t="s">
        <v>78</v>
      </c>
      <c r="C11" s="14">
        <v>1</v>
      </c>
      <c r="D11" s="14" t="s">
        <v>46</v>
      </c>
    </row>
    <row r="12" spans="1:6" ht="14" x14ac:dyDescent="0.15">
      <c r="B12" s="10" t="s">
        <v>49</v>
      </c>
      <c r="C12">
        <v>1</v>
      </c>
      <c r="D12" t="s">
        <v>48</v>
      </c>
    </row>
    <row r="14" spans="1:6" ht="14" x14ac:dyDescent="0.15">
      <c r="B14" s="13" t="s">
        <v>51</v>
      </c>
      <c r="C14" s="14">
        <v>1</v>
      </c>
      <c r="D14" s="14" t="s">
        <v>48</v>
      </c>
    </row>
    <row r="15" spans="1:6" ht="14" x14ac:dyDescent="0.15">
      <c r="B15" s="12" t="s">
        <v>53</v>
      </c>
    </row>
    <row r="16" spans="1:6" ht="14" x14ac:dyDescent="0.15">
      <c r="B16" s="12" t="s">
        <v>77</v>
      </c>
    </row>
    <row r="17" spans="2:4" ht="14" x14ac:dyDescent="0.15">
      <c r="B17" s="12" t="s">
        <v>53</v>
      </c>
    </row>
    <row r="18" spans="2:4" ht="14" x14ac:dyDescent="0.15">
      <c r="B18" s="10" t="s">
        <v>74</v>
      </c>
    </row>
    <row r="19" spans="2:4" ht="14" x14ac:dyDescent="0.15">
      <c r="B19" s="12" t="s">
        <v>53</v>
      </c>
    </row>
    <row r="20" spans="2:4" ht="14" x14ac:dyDescent="0.15">
      <c r="B20" s="12" t="s">
        <v>76</v>
      </c>
    </row>
    <row r="21" spans="2:4" ht="14" x14ac:dyDescent="0.15">
      <c r="B21" s="12" t="s">
        <v>53</v>
      </c>
    </row>
    <row r="22" spans="2:4" ht="14" x14ac:dyDescent="0.15">
      <c r="B22" s="12" t="s">
        <v>75</v>
      </c>
    </row>
    <row r="23" spans="2:4" ht="14" x14ac:dyDescent="0.15">
      <c r="B23" s="10" t="s">
        <v>53</v>
      </c>
    </row>
    <row r="25" spans="2:4" ht="14" x14ac:dyDescent="0.15">
      <c r="B25" s="13" t="s">
        <v>52</v>
      </c>
      <c r="C25" s="14">
        <v>1</v>
      </c>
      <c r="D25" s="14" t="s">
        <v>48</v>
      </c>
    </row>
    <row r="26" spans="2:4" ht="14" x14ac:dyDescent="0.15">
      <c r="B26" s="12" t="s">
        <v>53</v>
      </c>
    </row>
    <row r="27" spans="2:4" ht="14" x14ac:dyDescent="0.15">
      <c r="B27" s="12" t="s">
        <v>77</v>
      </c>
    </row>
    <row r="28" spans="2:4" ht="14" x14ac:dyDescent="0.15">
      <c r="B28" s="12" t="s">
        <v>53</v>
      </c>
    </row>
    <row r="29" spans="2:4" ht="14" x14ac:dyDescent="0.15">
      <c r="B29" s="10" t="s">
        <v>74</v>
      </c>
    </row>
    <row r="30" spans="2:4" ht="14" x14ac:dyDescent="0.15">
      <c r="B30" s="12" t="s">
        <v>53</v>
      </c>
    </row>
    <row r="31" spans="2:4" ht="14" x14ac:dyDescent="0.15">
      <c r="B31" s="12" t="s">
        <v>76</v>
      </c>
    </row>
    <row r="32" spans="2:4" ht="14" x14ac:dyDescent="0.15">
      <c r="B32" s="12" t="s">
        <v>53</v>
      </c>
    </row>
    <row r="33" spans="1:4" ht="14" x14ac:dyDescent="0.15">
      <c r="B33" s="12" t="s">
        <v>75</v>
      </c>
    </row>
    <row r="34" spans="1:4" ht="14" x14ac:dyDescent="0.15">
      <c r="B34" s="10" t="s">
        <v>53</v>
      </c>
    </row>
    <row r="36" spans="1:4" ht="14" x14ac:dyDescent="0.15">
      <c r="A36" s="14"/>
      <c r="B36" s="13" t="s">
        <v>54</v>
      </c>
      <c r="C36" s="14">
        <v>1</v>
      </c>
      <c r="D36" s="14" t="s">
        <v>48</v>
      </c>
    </row>
    <row r="37" spans="1:4" ht="14" x14ac:dyDescent="0.15">
      <c r="B37" s="12" t="s">
        <v>53</v>
      </c>
    </row>
    <row r="38" spans="1:4" ht="14" x14ac:dyDescent="0.15">
      <c r="B38" s="12" t="s">
        <v>77</v>
      </c>
    </row>
    <row r="39" spans="1:4" ht="14" x14ac:dyDescent="0.15">
      <c r="B39" s="12" t="s">
        <v>53</v>
      </c>
    </row>
    <row r="40" spans="1:4" ht="14" x14ac:dyDescent="0.15">
      <c r="B40" s="10" t="s">
        <v>74</v>
      </c>
    </row>
    <row r="41" spans="1:4" ht="14" x14ac:dyDescent="0.15">
      <c r="B41" s="12" t="s">
        <v>53</v>
      </c>
    </row>
    <row r="42" spans="1:4" ht="14" x14ac:dyDescent="0.15">
      <c r="B42" s="12" t="s">
        <v>76</v>
      </c>
    </row>
    <row r="43" spans="1:4" ht="14" x14ac:dyDescent="0.15">
      <c r="B43" s="12" t="s">
        <v>53</v>
      </c>
    </row>
    <row r="44" spans="1:4" ht="14" x14ac:dyDescent="0.15">
      <c r="B44" s="12" t="s">
        <v>75</v>
      </c>
    </row>
    <row r="45" spans="1:4" ht="14" x14ac:dyDescent="0.15">
      <c r="B45" s="10" t="s">
        <v>53</v>
      </c>
    </row>
    <row r="47" spans="1:4" ht="14" x14ac:dyDescent="0.15">
      <c r="A47" s="14"/>
      <c r="B47" s="13" t="s">
        <v>55</v>
      </c>
      <c r="C47" s="14">
        <v>1</v>
      </c>
      <c r="D47" s="14" t="s">
        <v>48</v>
      </c>
    </row>
    <row r="48" spans="1:4" ht="14" x14ac:dyDescent="0.15">
      <c r="B48" s="12" t="s">
        <v>53</v>
      </c>
    </row>
    <row r="49" spans="1:4" ht="14" x14ac:dyDescent="0.15">
      <c r="B49" s="12" t="s">
        <v>77</v>
      </c>
    </row>
    <row r="50" spans="1:4" ht="14" x14ac:dyDescent="0.15">
      <c r="B50" s="12" t="s">
        <v>53</v>
      </c>
    </row>
    <row r="51" spans="1:4" ht="14" x14ac:dyDescent="0.15">
      <c r="B51" s="10" t="s">
        <v>74</v>
      </c>
    </row>
    <row r="52" spans="1:4" ht="14" x14ac:dyDescent="0.15">
      <c r="B52" s="12" t="s">
        <v>53</v>
      </c>
    </row>
    <row r="53" spans="1:4" ht="14" x14ac:dyDescent="0.15">
      <c r="B53" s="12" t="s">
        <v>76</v>
      </c>
    </row>
    <row r="54" spans="1:4" ht="14" x14ac:dyDescent="0.15">
      <c r="B54" s="12" t="s">
        <v>53</v>
      </c>
    </row>
    <row r="55" spans="1:4" ht="14" x14ac:dyDescent="0.15">
      <c r="B55" s="12" t="s">
        <v>75</v>
      </c>
    </row>
    <row r="56" spans="1:4" ht="14" x14ac:dyDescent="0.15">
      <c r="B56" s="10" t="s">
        <v>53</v>
      </c>
    </row>
    <row r="59" spans="1:4" ht="14" x14ac:dyDescent="0.15">
      <c r="A59" s="14"/>
      <c r="B59" s="13" t="s">
        <v>56</v>
      </c>
      <c r="C59" s="14">
        <v>1</v>
      </c>
      <c r="D59" s="14" t="s">
        <v>48</v>
      </c>
    </row>
    <row r="60" spans="1:4" ht="14" x14ac:dyDescent="0.15">
      <c r="B60" s="12" t="s">
        <v>53</v>
      </c>
    </row>
    <row r="61" spans="1:4" ht="14" x14ac:dyDescent="0.15">
      <c r="B61" s="12" t="s">
        <v>77</v>
      </c>
    </row>
    <row r="62" spans="1:4" ht="14" x14ac:dyDescent="0.15">
      <c r="B62" s="12" t="s">
        <v>53</v>
      </c>
    </row>
    <row r="63" spans="1:4" ht="14" x14ac:dyDescent="0.15">
      <c r="B63" s="10" t="s">
        <v>74</v>
      </c>
    </row>
    <row r="64" spans="1:4" ht="14" x14ac:dyDescent="0.15">
      <c r="B64" s="12" t="s">
        <v>53</v>
      </c>
    </row>
    <row r="65" spans="1:4" ht="14" x14ac:dyDescent="0.15">
      <c r="B65" s="12" t="s">
        <v>76</v>
      </c>
    </row>
    <row r="66" spans="1:4" ht="14" x14ac:dyDescent="0.15">
      <c r="B66" s="12" t="s">
        <v>53</v>
      </c>
    </row>
    <row r="67" spans="1:4" ht="14" x14ac:dyDescent="0.15">
      <c r="B67" s="12" t="s">
        <v>75</v>
      </c>
    </row>
    <row r="68" spans="1:4" ht="14" x14ac:dyDescent="0.15">
      <c r="B68" s="10" t="s">
        <v>53</v>
      </c>
    </row>
    <row r="71" spans="1:4" ht="14" x14ac:dyDescent="0.15">
      <c r="A71" s="14"/>
      <c r="B71" s="13" t="s">
        <v>57</v>
      </c>
      <c r="C71" s="14">
        <v>1</v>
      </c>
      <c r="D71" s="14" t="s">
        <v>48</v>
      </c>
    </row>
    <row r="72" spans="1:4" ht="14" x14ac:dyDescent="0.15">
      <c r="B72" s="12" t="s">
        <v>53</v>
      </c>
    </row>
    <row r="73" spans="1:4" ht="14" x14ac:dyDescent="0.15">
      <c r="B73" s="12" t="s">
        <v>77</v>
      </c>
    </row>
    <row r="74" spans="1:4" ht="14" x14ac:dyDescent="0.15">
      <c r="B74" s="12" t="s">
        <v>53</v>
      </c>
    </row>
    <row r="75" spans="1:4" ht="14" x14ac:dyDescent="0.15">
      <c r="B75" s="10" t="s">
        <v>74</v>
      </c>
    </row>
    <row r="76" spans="1:4" ht="14" x14ac:dyDescent="0.15">
      <c r="B76" s="12" t="s">
        <v>53</v>
      </c>
    </row>
    <row r="77" spans="1:4" ht="14" x14ac:dyDescent="0.15">
      <c r="B77" s="12" t="s">
        <v>76</v>
      </c>
    </row>
    <row r="78" spans="1:4" ht="14" x14ac:dyDescent="0.15">
      <c r="B78" s="12" t="s">
        <v>53</v>
      </c>
    </row>
    <row r="79" spans="1:4" ht="14" x14ac:dyDescent="0.15">
      <c r="B79" s="12" t="s">
        <v>75</v>
      </c>
    </row>
    <row r="80" spans="1:4" ht="14" x14ac:dyDescent="0.15">
      <c r="B80" s="10" t="s">
        <v>53</v>
      </c>
    </row>
    <row r="82" spans="1:4" ht="14" x14ac:dyDescent="0.15">
      <c r="A82" s="14"/>
      <c r="B82" s="13" t="s">
        <v>58</v>
      </c>
      <c r="C82" s="14">
        <v>1</v>
      </c>
      <c r="D82" s="14" t="s">
        <v>48</v>
      </c>
    </row>
    <row r="83" spans="1:4" ht="14" x14ac:dyDescent="0.15">
      <c r="B83" s="12" t="s">
        <v>53</v>
      </c>
    </row>
    <row r="84" spans="1:4" ht="14" x14ac:dyDescent="0.15">
      <c r="B84" s="12" t="s">
        <v>77</v>
      </c>
    </row>
    <row r="85" spans="1:4" ht="14" x14ac:dyDescent="0.15">
      <c r="B85" s="12" t="s">
        <v>53</v>
      </c>
    </row>
    <row r="86" spans="1:4" ht="14" x14ac:dyDescent="0.15">
      <c r="B86" s="10" t="s">
        <v>74</v>
      </c>
    </row>
    <row r="87" spans="1:4" ht="14" x14ac:dyDescent="0.15">
      <c r="B87" s="12" t="s">
        <v>53</v>
      </c>
    </row>
    <row r="88" spans="1:4" ht="14" x14ac:dyDescent="0.15">
      <c r="B88" s="12" t="s">
        <v>76</v>
      </c>
    </row>
    <row r="89" spans="1:4" ht="14" x14ac:dyDescent="0.15">
      <c r="B89" s="12" t="s">
        <v>53</v>
      </c>
    </row>
    <row r="90" spans="1:4" ht="14" x14ac:dyDescent="0.15">
      <c r="B90" s="12" t="s">
        <v>75</v>
      </c>
    </row>
    <row r="91" spans="1:4" ht="14" x14ac:dyDescent="0.15">
      <c r="B91" s="10" t="s">
        <v>53</v>
      </c>
    </row>
    <row r="94" spans="1:4" ht="14" x14ac:dyDescent="0.15">
      <c r="A94" s="14"/>
      <c r="B94" s="13" t="s">
        <v>59</v>
      </c>
      <c r="C94" s="14">
        <v>1</v>
      </c>
      <c r="D94" s="14" t="s">
        <v>48</v>
      </c>
    </row>
    <row r="95" spans="1:4" ht="14" x14ac:dyDescent="0.15">
      <c r="B95" s="12" t="s">
        <v>53</v>
      </c>
    </row>
    <row r="96" spans="1:4" ht="14" x14ac:dyDescent="0.15">
      <c r="B96" s="12" t="s">
        <v>77</v>
      </c>
    </row>
    <row r="97" spans="1:4" ht="14" x14ac:dyDescent="0.15">
      <c r="B97" s="12" t="s">
        <v>53</v>
      </c>
    </row>
    <row r="98" spans="1:4" ht="14" x14ac:dyDescent="0.15">
      <c r="B98" s="10" t="s">
        <v>74</v>
      </c>
    </row>
    <row r="99" spans="1:4" ht="14" x14ac:dyDescent="0.15">
      <c r="B99" s="12" t="s">
        <v>53</v>
      </c>
    </row>
    <row r="100" spans="1:4" ht="14" x14ac:dyDescent="0.15">
      <c r="B100" s="12" t="s">
        <v>76</v>
      </c>
    </row>
    <row r="101" spans="1:4" ht="14" x14ac:dyDescent="0.15">
      <c r="B101" s="12" t="s">
        <v>53</v>
      </c>
    </row>
    <row r="102" spans="1:4" ht="14" x14ac:dyDescent="0.15">
      <c r="B102" s="12" t="s">
        <v>75</v>
      </c>
    </row>
    <row r="103" spans="1:4" ht="14" x14ac:dyDescent="0.15">
      <c r="B103" s="10" t="s">
        <v>53</v>
      </c>
    </row>
    <row r="105" spans="1:4" ht="14" x14ac:dyDescent="0.15">
      <c r="A105" s="14"/>
      <c r="B105" s="13" t="s">
        <v>60</v>
      </c>
      <c r="C105" s="14">
        <v>1</v>
      </c>
      <c r="D105" s="14" t="s">
        <v>48</v>
      </c>
    </row>
    <row r="106" spans="1:4" ht="14" x14ac:dyDescent="0.15">
      <c r="B106" s="12" t="s">
        <v>53</v>
      </c>
    </row>
    <row r="107" spans="1:4" ht="14" x14ac:dyDescent="0.15">
      <c r="B107" s="12" t="s">
        <v>77</v>
      </c>
    </row>
    <row r="108" spans="1:4" ht="14" x14ac:dyDescent="0.15">
      <c r="B108" s="12" t="s">
        <v>53</v>
      </c>
    </row>
    <row r="109" spans="1:4" ht="14" x14ac:dyDescent="0.15">
      <c r="B109" s="10" t="s">
        <v>74</v>
      </c>
    </row>
    <row r="110" spans="1:4" ht="14" x14ac:dyDescent="0.15">
      <c r="B110" s="12" t="s">
        <v>53</v>
      </c>
    </row>
    <row r="111" spans="1:4" ht="14" x14ac:dyDescent="0.15">
      <c r="B111" s="12" t="s">
        <v>76</v>
      </c>
    </row>
    <row r="112" spans="1:4" ht="14" x14ac:dyDescent="0.15">
      <c r="B112" s="12" t="s">
        <v>53</v>
      </c>
    </row>
    <row r="113" spans="1:4" ht="14" x14ac:dyDescent="0.15">
      <c r="B113" s="12" t="s">
        <v>75</v>
      </c>
    </row>
    <row r="114" spans="1:4" ht="14" x14ac:dyDescent="0.15">
      <c r="B114" s="10" t="s">
        <v>53</v>
      </c>
    </row>
    <row r="116" spans="1:4" ht="14" x14ac:dyDescent="0.15">
      <c r="A116" s="14"/>
      <c r="B116" s="13" t="s">
        <v>86</v>
      </c>
      <c r="C116" s="14">
        <v>1</v>
      </c>
      <c r="D116" s="14" t="s">
        <v>48</v>
      </c>
    </row>
    <row r="117" spans="1:4" ht="14" x14ac:dyDescent="0.15">
      <c r="B117" s="12" t="s">
        <v>53</v>
      </c>
    </row>
    <row r="118" spans="1:4" ht="14" x14ac:dyDescent="0.15">
      <c r="B118" s="12" t="s">
        <v>77</v>
      </c>
    </row>
    <row r="119" spans="1:4" ht="14" x14ac:dyDescent="0.15">
      <c r="B119" s="12" t="s">
        <v>53</v>
      </c>
    </row>
    <row r="120" spans="1:4" ht="14" x14ac:dyDescent="0.15">
      <c r="B120" s="10" t="s">
        <v>74</v>
      </c>
    </row>
    <row r="121" spans="1:4" ht="14" x14ac:dyDescent="0.15">
      <c r="B121" s="12" t="s">
        <v>53</v>
      </c>
    </row>
    <row r="122" spans="1:4" ht="14" x14ac:dyDescent="0.15">
      <c r="B122" s="12" t="s">
        <v>76</v>
      </c>
    </row>
    <row r="123" spans="1:4" ht="14" x14ac:dyDescent="0.15">
      <c r="B123" s="12" t="s">
        <v>53</v>
      </c>
    </row>
    <row r="124" spans="1:4" ht="14" x14ac:dyDescent="0.15">
      <c r="B124" s="12" t="s">
        <v>75</v>
      </c>
    </row>
    <row r="125" spans="1:4" ht="14" x14ac:dyDescent="0.15">
      <c r="B125" s="10" t="s">
        <v>53</v>
      </c>
    </row>
    <row r="127" spans="1:4" ht="14" x14ac:dyDescent="0.15">
      <c r="A127" s="14"/>
      <c r="B127" s="13" t="s">
        <v>79</v>
      </c>
      <c r="C127" s="14">
        <v>1</v>
      </c>
      <c r="D127" s="14" t="s">
        <v>46</v>
      </c>
    </row>
    <row r="129" spans="1:4" ht="14" x14ac:dyDescent="0.15">
      <c r="B129" s="10" t="s">
        <v>62</v>
      </c>
      <c r="C129">
        <v>1</v>
      </c>
      <c r="D129" t="s">
        <v>48</v>
      </c>
    </row>
    <row r="130" spans="1:4" ht="14" x14ac:dyDescent="0.15">
      <c r="B130" s="10" t="s">
        <v>63</v>
      </c>
      <c r="C130">
        <v>1</v>
      </c>
      <c r="D130" t="s">
        <v>48</v>
      </c>
    </row>
    <row r="131" spans="1:4" ht="14" x14ac:dyDescent="0.15">
      <c r="B131" s="10" t="s">
        <v>64</v>
      </c>
      <c r="C131">
        <v>1</v>
      </c>
      <c r="D131" t="s">
        <v>48</v>
      </c>
    </row>
    <row r="132" spans="1:4" ht="28" x14ac:dyDescent="0.15">
      <c r="B132" s="10" t="s">
        <v>66</v>
      </c>
      <c r="C132">
        <v>1</v>
      </c>
      <c r="D132" t="s">
        <v>48</v>
      </c>
    </row>
    <row r="133" spans="1:4" ht="28" x14ac:dyDescent="0.15">
      <c r="B133" s="10" t="s">
        <v>67</v>
      </c>
      <c r="C133">
        <v>1</v>
      </c>
      <c r="D133" t="s">
        <v>65</v>
      </c>
    </row>
    <row r="134" spans="1:4" ht="42" x14ac:dyDescent="0.15">
      <c r="B134" s="10" t="s">
        <v>68</v>
      </c>
      <c r="C134">
        <v>1</v>
      </c>
      <c r="D134" t="s">
        <v>48</v>
      </c>
    </row>
    <row r="135" spans="1:4" ht="14" x14ac:dyDescent="0.15">
      <c r="B135" s="10" t="s">
        <v>69</v>
      </c>
      <c r="C135">
        <v>1</v>
      </c>
      <c r="D135" t="s">
        <v>48</v>
      </c>
    </row>
    <row r="137" spans="1:4" ht="14" x14ac:dyDescent="0.15">
      <c r="A137" s="14"/>
      <c r="B137" s="13" t="s">
        <v>80</v>
      </c>
      <c r="C137" s="14">
        <v>1</v>
      </c>
      <c r="D137" s="14" t="s">
        <v>46</v>
      </c>
    </row>
    <row r="139" spans="1:4" ht="42" x14ac:dyDescent="0.15">
      <c r="B139" s="10" t="s">
        <v>70</v>
      </c>
    </row>
    <row r="140" spans="1:4" ht="14" x14ac:dyDescent="0.15">
      <c r="B140" s="10" t="s">
        <v>71</v>
      </c>
    </row>
    <row r="141" spans="1:4" ht="14" x14ac:dyDescent="0.15">
      <c r="B141" s="10" t="s">
        <v>72</v>
      </c>
    </row>
    <row r="142" spans="1:4" ht="14" x14ac:dyDescent="0.15">
      <c r="B142" s="10" t="s">
        <v>73</v>
      </c>
    </row>
    <row r="144" spans="1:4" ht="14" x14ac:dyDescent="0.15">
      <c r="A144" s="14"/>
      <c r="B144" s="13" t="s">
        <v>81</v>
      </c>
      <c r="C144" s="14">
        <v>1</v>
      </c>
      <c r="D144" s="14" t="s">
        <v>46</v>
      </c>
    </row>
    <row r="145" spans="2:2" ht="42" x14ac:dyDescent="0.15">
      <c r="B145" s="12" t="s">
        <v>82</v>
      </c>
    </row>
  </sheetData>
  <mergeCells count="1">
    <mergeCell ref="A1:C1"/>
  </mergeCells>
  <hyperlinks>
    <hyperlink ref="E1" location="Summary!A1" display="HOME" xr:uid="{02D58C77-1C0A-0240-942E-1DA2A7D5B388}"/>
  </hyperlinks>
  <pageMargins left="0.75" right="0.75" top="1" bottom="1" header="0.5" footer="0.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
  <sheetViews>
    <sheetView workbookViewId="0">
      <selection activeCell="E3" sqref="E3:F3"/>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10</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6FC6CEF7-0893-614E-8372-61B702017F3C}"/>
  </hyperlink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
  <sheetViews>
    <sheetView workbookViewId="0">
      <selection activeCell="E1" sqref="E1"/>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11</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DDD41C8D-7CAB-674B-9903-008A221B0062}"/>
  </hyperlinks>
  <pageMargins left="0.75" right="0.75" top="1" bottom="1" header="0.5" footer="0.5"/>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
  <sheetViews>
    <sheetView tabSelected="1" workbookViewId="0">
      <selection sqref="A1:C1"/>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12</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856DEEC6-D255-8642-A7A7-B0324F444C5A}"/>
  </hyperlink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
  <sheetViews>
    <sheetView workbookViewId="0">
      <selection sqref="A1:C1"/>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13</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44D6F30F-4058-7B4D-8F75-C7103B2BFA65}"/>
  </hyperlink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
  <sheetViews>
    <sheetView workbookViewId="0">
      <selection sqref="A1:C1"/>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14</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FE9C74C3-0514-844E-A193-69794AEE1BF9}"/>
  </hyperlinks>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4"/>
  <sheetViews>
    <sheetView workbookViewId="0">
      <selection sqref="A1:C1"/>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15</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29964D48-6EF4-1744-AF2A-858144AA1E31}"/>
  </hyperlinks>
  <pageMargins left="0.75" right="0.75" top="1" bottom="1" header="0.5" footer="0.5"/>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
  <sheetViews>
    <sheetView workbookViewId="0">
      <selection sqref="A1:C1"/>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16</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D79493D8-B277-4948-85EF-E791BE393883}"/>
  </hyperlinks>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4"/>
  <sheetViews>
    <sheetView workbookViewId="0">
      <selection sqref="A1:C1"/>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17</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D890C7CB-8C5A-2341-8C78-AD85E6D99775}"/>
  </hyperlinks>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4"/>
  <sheetViews>
    <sheetView workbookViewId="0">
      <selection sqref="A1:C1"/>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18</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86AF5D9E-C1D3-1043-A67D-70C94A138FA6}"/>
  </hyperlinks>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4"/>
  <sheetViews>
    <sheetView workbookViewId="0">
      <selection sqref="A1:C1"/>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19</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9F2C095B-ADB1-454E-B9BC-3E90479A7FA8}"/>
  </hyperlinks>
  <pageMargins left="0.75" right="0.75" top="1" bottom="1" header="0.5" footer="0.5"/>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4"/>
  <sheetViews>
    <sheetView workbookViewId="0">
      <selection sqref="A1:C1"/>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20</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B14A10DB-6FB9-3C42-90C2-B323143B9B65}"/>
  </hyperlinks>
  <pageMargins left="0.75" right="0.75" top="1" bottom="1" header="0.5" footer="0.5"/>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4"/>
  <sheetViews>
    <sheetView workbookViewId="0">
      <selection sqref="A1:C1"/>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21</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66852BED-F279-1645-B365-D2BD480F7A88}"/>
  </hyperlinks>
  <pageMargins left="0.75" right="0.75" top="1" bottom="1" header="0.5" footer="0.5"/>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4"/>
  <sheetViews>
    <sheetView workbookViewId="0">
      <selection sqref="A1:C1"/>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22</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3F841C11-34CF-9B48-B146-4A33BE48F664}"/>
  </hyperlinks>
  <pageMargins left="0.75" right="0.75" top="1" bottom="1" header="0.5" footer="0.5"/>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4"/>
  <sheetViews>
    <sheetView workbookViewId="0">
      <selection sqref="A1:C1"/>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23</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DF50B9F1-B628-C343-BCC4-1F1EDA293A71}"/>
  </hyperlinks>
  <pageMargins left="0.75" right="0.75" top="1" bottom="1" header="0.5" footer="0.5"/>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4"/>
  <sheetViews>
    <sheetView topLeftCell="A29" workbookViewId="0">
      <selection sqref="A1:C1"/>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24</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2A73D0F1-49B4-474C-8316-379724AF127E}"/>
  </hyperlinks>
  <pageMargins left="0.75" right="0.75" top="1" bottom="1" header="0.5" footer="0.5"/>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4"/>
  <sheetViews>
    <sheetView workbookViewId="0">
      <selection sqref="A1:C1"/>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25</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6F7E4423-7EFD-8E4F-839C-F9F6965DA0A6}"/>
  </hyperlinks>
  <pageMargins left="0.75" right="0.75" top="1" bottom="1" header="0.5" footer="0.5"/>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4"/>
  <sheetViews>
    <sheetView workbookViewId="0">
      <selection sqref="A1:C1"/>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26</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5177D6CB-5751-FE4E-8D4E-3D1C90CFFDC3}"/>
  </hyperlinks>
  <pageMargins left="0.75" right="0.75" top="1" bottom="1" header="0.5" footer="0.5"/>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4"/>
  <sheetViews>
    <sheetView workbookViewId="0">
      <selection sqref="A1:C1"/>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27</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70E92FD7-B727-F849-BAC3-8CB031C678F3}"/>
  </hyperlinks>
  <pageMargins left="0.75" right="0.75" top="1" bottom="1" header="0.5" footer="0.5"/>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4"/>
  <sheetViews>
    <sheetView workbookViewId="0">
      <selection sqref="A1:C1"/>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28</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7E3061BD-2A34-A84C-8519-05304053573F}"/>
  </hyperlinks>
  <pageMargins left="0.75" right="0.75" top="1" bottom="1" header="0.5" footer="0.5"/>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4"/>
  <sheetViews>
    <sheetView workbookViewId="0">
      <selection sqref="A1:C1"/>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29</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C6A7A32F-247D-494F-A68F-C140C0DF6E70}"/>
  </hyperlinks>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4"/>
  <sheetViews>
    <sheetView workbookViewId="0">
      <selection sqref="A1:C1"/>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30</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92D1A980-16F2-B44F-871F-0CE101B7904D}"/>
  </hyperlinks>
  <pageMargins left="0.75" right="0.75" top="1" bottom="1" header="0.5" footer="0.5"/>
  <pageSetup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4"/>
  <sheetViews>
    <sheetView workbookViewId="0">
      <selection activeCell="E1" sqref="E1"/>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31</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D3F73706-E78F-CA42-AC37-54CE3A9F8D45}"/>
  </hyperlinks>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4"/>
  <sheetViews>
    <sheetView workbookViewId="0">
      <selection sqref="A1:C1"/>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32</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35F2B7C0-9CB7-CD45-A93D-BFFD40662B66}"/>
  </hyperlinks>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4"/>
  <sheetViews>
    <sheetView workbookViewId="0">
      <selection sqref="A1:C1"/>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33</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6F3ECF47-5A9D-994E-B758-6B69BB95D8CD}"/>
  </hyperlinks>
  <pageMargins left="0.75" right="0.75" top="1" bottom="1" header="0.5" footer="0.5"/>
  <pageSetup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4"/>
  <sheetViews>
    <sheetView workbookViewId="0">
      <selection sqref="A1:C1"/>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34</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EC1FE283-0928-5546-B36B-A1D669700CF3}"/>
  </hyperlinks>
  <pageMargins left="0.75" right="0.75" top="1" bottom="1" header="0.5" footer="0.5"/>
  <pageSetup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4"/>
  <sheetViews>
    <sheetView workbookViewId="0">
      <selection sqref="A1:C1"/>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35</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4330B5F0-997C-3A4F-AA95-855B2AF0B288}"/>
  </hyperlinks>
  <pageMargins left="0.75" right="0.75" top="1" bottom="1" header="0.5" footer="0.5"/>
  <pageSetup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4"/>
  <sheetViews>
    <sheetView workbookViewId="0">
      <selection sqref="A1:C1"/>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36</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63B70300-D2B3-AE46-9C05-441AD09602B0}"/>
  </hyperlinks>
  <pageMargins left="0.75" right="0.75" top="1" bottom="1" header="0.5" footer="0.5"/>
  <pageSetup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4"/>
  <sheetViews>
    <sheetView workbookViewId="0">
      <selection sqref="A1:C1"/>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37</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F4B41A28-B857-144B-BABE-53B88B20B7C7}"/>
  </hyperlinks>
  <pageMargins left="0.75" right="0.75" top="1" bottom="1" header="0.5" footer="0.5"/>
  <pageSetup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4"/>
  <sheetViews>
    <sheetView workbookViewId="0">
      <selection activeCell="E1" sqref="E1"/>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38</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C21E486F-E15C-DD45-B940-84002A88232D}"/>
  </hyperlinks>
  <pageMargins left="0.75" right="0.75" top="1" bottom="1" header="0.5" footer="0.5"/>
  <pageSetup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4"/>
  <sheetViews>
    <sheetView workbookViewId="0">
      <selection sqref="A1:C1"/>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39</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48965AE0-9893-6C4A-9BEF-757BDF164836}"/>
  </hyperlink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F4"/>
  <sheetViews>
    <sheetView workbookViewId="0">
      <selection activeCell="E1" sqref="E1"/>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40</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AE21A0B0-CCFF-554E-8CC1-B5400F4D20E3}"/>
  </hyperlinks>
  <pageMargins left="0.75" right="0.75" top="1" bottom="1" header="0.5" footer="0.5"/>
  <pageSetup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4"/>
  <sheetViews>
    <sheetView workbookViewId="0">
      <selection sqref="A1:C1"/>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41</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E54C6050-87F9-BD4C-8183-C1A6E5D7C40F}"/>
  </hyperlinks>
  <pageMargins left="0.75" right="0.75" top="1" bottom="1" header="0.5" footer="0.5"/>
  <pageSetup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4"/>
  <sheetViews>
    <sheetView workbookViewId="0">
      <selection sqref="A1:C1"/>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42</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B42A5A57-3032-3A4E-9F84-1DA736CE0F0F}"/>
  </hyperlinks>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4"/>
  <sheetViews>
    <sheetView workbookViewId="0">
      <selection sqref="A1:C1"/>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43</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305F13C1-E45C-FE4B-B1CA-96D5E052F750}"/>
  </hyperlinks>
  <pageMargins left="0.75" right="0.75" top="1" bottom="1" header="0.5" footer="0.5"/>
  <pageSetup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F4"/>
  <sheetViews>
    <sheetView workbookViewId="0">
      <selection sqref="A1:C1"/>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44</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BB76A981-4239-564E-9355-0FC8A76F9E37}"/>
  </hyperlinks>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4"/>
  <sheetViews>
    <sheetView workbookViewId="0">
      <selection activeCell="E1" sqref="E1"/>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45</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7FA4C89A-6451-BB4F-B919-F92F5880FADD}"/>
  </hyperlinks>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F4"/>
  <sheetViews>
    <sheetView workbookViewId="0">
      <selection activeCell="E1" sqref="E1"/>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108</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2A548E2A-AD6D-754B-AA60-0BB89B9C8DD9}"/>
  </hyperlinks>
  <pageMargins left="0.75" right="0.75" top="1" bottom="1" header="0.5" footer="0.5"/>
  <pageSetup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F4"/>
  <sheetViews>
    <sheetView workbookViewId="0">
      <selection sqref="A1:C1"/>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109</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25E8D63B-7B94-3244-B3EA-97ADDE4FB2DB}"/>
  </hyperlinks>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9D349-0B2C-D843-A795-7A50F9909E70}">
  <dimension ref="A1:F4"/>
  <sheetViews>
    <sheetView workbookViewId="0">
      <selection activeCell="A2" sqref="A2"/>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126</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BA87B703-2757-2447-9E8F-E4FA11C2D9B8}"/>
  </hyperlinks>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E8E02-51A9-704E-8E9D-D877FB887616}">
  <dimension ref="A1:F4"/>
  <sheetViews>
    <sheetView workbookViewId="0">
      <selection activeCell="A2" sqref="A2"/>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125</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FC484920-D404-7146-A2A3-1C3A27A991B0}"/>
  </hyperlinks>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EA416-C494-444C-93F4-8DCB5BB30999}">
  <dimension ref="A1:F4"/>
  <sheetViews>
    <sheetView workbookViewId="0">
      <selection activeCell="A2" sqref="A2"/>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110</v>
      </c>
      <c r="B1" s="51"/>
      <c r="C1" s="51"/>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EA451F6A-EA6E-6C45-8AF4-93BF7186E8D7}"/>
  </hyperlinks>
  <pageMargins left="0.75" right="0.75" top="1" bottom="1" header="0.5" footer="0.5"/>
  <pageSetup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35441-B216-5749-AC4A-79A139B38923}">
  <dimension ref="A1:F4"/>
  <sheetViews>
    <sheetView workbookViewId="0">
      <selection activeCell="E1" sqref="E1"/>
    </sheetView>
  </sheetViews>
  <sheetFormatPr baseColWidth="10" defaultColWidth="9.1640625" defaultRowHeight="13" x14ac:dyDescent="0.15"/>
  <cols>
    <col min="1" max="1" width="6.6640625" customWidth="1"/>
    <col min="2" max="2" width="62.6640625" customWidth="1"/>
    <col min="3" max="6" width="9.6640625" customWidth="1"/>
  </cols>
  <sheetData>
    <row r="1" spans="1:6" ht="16" x14ac:dyDescent="0.2">
      <c r="A1" s="51" t="s">
        <v>107</v>
      </c>
      <c r="B1" s="52"/>
      <c r="C1" s="52"/>
      <c r="E1" s="36" t="s">
        <v>97</v>
      </c>
      <c r="F1" s="37">
        <f>SUM(F2:F1000)/2</f>
        <v>0</v>
      </c>
    </row>
    <row r="2" spans="1:6" x14ac:dyDescent="0.15">
      <c r="A2" s="1" t="s">
        <v>0</v>
      </c>
      <c r="B2" s="1" t="s">
        <v>1</v>
      </c>
      <c r="C2" s="2" t="s">
        <v>4</v>
      </c>
      <c r="D2" s="2" t="s">
        <v>5</v>
      </c>
      <c r="E2" s="2" t="s">
        <v>6</v>
      </c>
      <c r="F2" s="2" t="s">
        <v>2</v>
      </c>
    </row>
    <row r="3" spans="1:6" x14ac:dyDescent="0.15">
      <c r="A3" s="4" t="s">
        <v>7</v>
      </c>
      <c r="B3" s="4" t="s">
        <v>8</v>
      </c>
      <c r="C3" s="5">
        <v>1</v>
      </c>
      <c r="D3" s="6" t="s">
        <v>9</v>
      </c>
      <c r="E3" s="3"/>
    </row>
    <row r="4" spans="1:6" x14ac:dyDescent="0.15">
      <c r="B4" s="7" t="s">
        <v>2</v>
      </c>
      <c r="F4" s="9">
        <f>SUM(F2:F3)</f>
        <v>0</v>
      </c>
    </row>
  </sheetData>
  <mergeCells count="1">
    <mergeCell ref="A1:C1"/>
  </mergeCells>
  <hyperlinks>
    <hyperlink ref="E1" location="Summary!A1" display="HOME" xr:uid="{6509E137-F069-C044-B864-B9F591258544}"/>
  </hyperlinks>
  <pageMargins left="0.75" right="0.75" top="1" bottom="1" header="0.5" footer="0.5"/>
  <pageSetup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762F3-3948-5E4D-9DA5-292DE413D989}">
  <dimension ref="A1"/>
  <sheetViews>
    <sheetView workbookViewId="0"/>
  </sheetViews>
  <sheetFormatPr baseColWidth="10" defaultRowHeight="13" x14ac:dyDescent="0.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46</vt:i4>
      </vt:variant>
    </vt:vector>
  </HeadingPairs>
  <TitlesOfParts>
    <vt:vector size="46" baseType="lpstr">
      <vt:lpstr>Summary</vt:lpstr>
      <vt:lpstr>0-DISCLAIMER</vt:lpstr>
      <vt:lpstr>1-GENERAL</vt:lpstr>
      <vt:lpstr>2-PRELIMINARIES</vt:lpstr>
      <vt:lpstr>3-DEMOLITION</vt:lpstr>
      <vt:lpstr>4-GROUNDWORKS</vt:lpstr>
      <vt:lpstr>5-PILING</vt:lpstr>
      <vt:lpstr>6-CONCRETE</vt:lpstr>
      <vt:lpstr>7-FORMWORK</vt:lpstr>
      <vt:lpstr>8-REINFORCEMENT</vt:lpstr>
      <vt:lpstr>9-PRESTRESSING</vt:lpstr>
      <vt:lpstr>10-PRECAST CONCRETE</vt:lpstr>
      <vt:lpstr>11-TANKING AND WATERPROOF MEMBR</vt:lpstr>
      <vt:lpstr>12-MASONRY</vt:lpstr>
      <vt:lpstr>13-STONEWORK</vt:lpstr>
      <vt:lpstr>14-STRUCTURAL STEEL</vt:lpstr>
      <vt:lpstr>15-METALWORK</vt:lpstr>
      <vt:lpstr>16-ROOFING</vt:lpstr>
      <vt:lpstr>17-FAÇADE SYSTEMS</vt:lpstr>
      <vt:lpstr>18-WINDOWS</vt:lpstr>
      <vt:lpstr>19-GLAZING</vt:lpstr>
      <vt:lpstr>20-CARPENTRY</vt:lpstr>
      <vt:lpstr>21-PARTITIONS</vt:lpstr>
      <vt:lpstr>22-SUSPENDED CEILINGS</vt:lpstr>
      <vt:lpstr>23-ACCESS FLOORS</vt:lpstr>
      <vt:lpstr>24-DOORS</vt:lpstr>
      <vt:lpstr>25-HARDWARE</vt:lpstr>
      <vt:lpstr>26-APPLIED FINISHES, RENDER &amp; T</vt:lpstr>
      <vt:lpstr>27-TILING, SLAB AND PAVING</vt:lpstr>
      <vt:lpstr>28-CARPET AND RESILIENT FINISHE</vt:lpstr>
      <vt:lpstr>29-PAINTING</vt:lpstr>
      <vt:lpstr>30-JOINERY</vt:lpstr>
      <vt:lpstr>31-FURNITURE FITTINGS AND EQUIP</vt:lpstr>
      <vt:lpstr>32-HYDRAULICS</vt:lpstr>
      <vt:lpstr>33-DRAINAGE</vt:lpstr>
      <vt:lpstr>34-ELECTRICAL INSTALLATIONS</vt:lpstr>
      <vt:lpstr>35-MECHANICAL INSTALLATIONS</vt:lpstr>
      <vt:lpstr>36-TRANSPORTATION SERVICES</vt:lpstr>
      <vt:lpstr>37-EXTERIOR ELEMENTS</vt:lpstr>
      <vt:lpstr>38-FIRE PROTECTION</vt:lpstr>
      <vt:lpstr>39-INCLUDED SUMS</vt:lpstr>
      <vt:lpstr>40-SIGNAGE</vt:lpstr>
      <vt:lpstr>41-PEST CONTROL</vt:lpstr>
      <vt:lpstr>42-WORKS BY NOMINATED SUBCONTRA</vt:lpstr>
      <vt:lpstr>43-NOT INCLUDED ELSEWHERE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Lakiss</cp:lastModifiedBy>
  <cp:lastPrinted>2018-07-25T00:15:36Z</cp:lastPrinted>
  <dcterms:created xsi:type="dcterms:W3CDTF">2018-07-25T00:13:52Z</dcterms:created>
  <dcterms:modified xsi:type="dcterms:W3CDTF">2026-09-03T04:52:56Z</dcterms:modified>
</cp:coreProperties>
</file>